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wnloads\"/>
    </mc:Choice>
  </mc:AlternateContent>
  <xr:revisionPtr revIDLastSave="0" documentId="13_ncr:1_{52BF6C74-2E82-442F-B55E-B41C1FC30465}" xr6:coauthVersionLast="47" xr6:coauthVersionMax="47" xr10:uidLastSave="{00000000-0000-0000-0000-000000000000}"/>
  <bookViews>
    <workbookView xWindow="-120" yWindow="-120" windowWidth="29040" windowHeight="15840" tabRatio="500" activeTab="1" xr2:uid="{00000000-000D-0000-FFFF-FFFF00000000}"/>
  </bookViews>
  <sheets>
    <sheet name="Assumptions" sheetId="1" r:id="rId1"/>
    <sheet name="Budget Model" sheetId="2" r:id="rId2"/>
    <sheet name="Strategic 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30" i="2" l="1"/>
  <c r="F21" i="3" s="1"/>
  <c r="J29" i="2"/>
  <c r="E19" i="3" s="1"/>
  <c r="H28" i="2"/>
  <c r="D17" i="3" s="1"/>
  <c r="F28" i="2"/>
  <c r="D15" i="3" s="1"/>
  <c r="M26" i="2"/>
  <c r="B22" i="3" s="1"/>
  <c r="L24" i="2"/>
  <c r="H24" i="2"/>
  <c r="G24" i="2"/>
  <c r="F24" i="2"/>
  <c r="M23" i="2"/>
  <c r="L23" i="2"/>
  <c r="K23" i="2"/>
  <c r="J23" i="2"/>
  <c r="H23" i="2"/>
  <c r="G23" i="2"/>
  <c r="F23" i="2"/>
  <c r="M22" i="2"/>
  <c r="L22" i="2"/>
  <c r="H22" i="2"/>
  <c r="G22" i="2"/>
  <c r="F22" i="2"/>
  <c r="M21" i="2"/>
  <c r="L21" i="2"/>
  <c r="K21" i="2"/>
  <c r="J21" i="2"/>
  <c r="H21" i="2"/>
  <c r="G21" i="2"/>
  <c r="F21" i="2"/>
  <c r="M20" i="2"/>
  <c r="L20" i="2"/>
  <c r="H20" i="2"/>
  <c r="G20" i="2"/>
  <c r="F20" i="2"/>
  <c r="M19" i="2"/>
  <c r="L19" i="2"/>
  <c r="K19" i="2"/>
  <c r="J19" i="2"/>
  <c r="H19" i="2"/>
  <c r="G19" i="2"/>
  <c r="F19" i="2"/>
  <c r="L18" i="2"/>
  <c r="H18" i="2"/>
  <c r="G18" i="2"/>
  <c r="F18" i="2"/>
  <c r="M17" i="2"/>
  <c r="L17" i="2"/>
  <c r="K17" i="2"/>
  <c r="J17" i="2"/>
  <c r="H17" i="2"/>
  <c r="G17" i="2"/>
  <c r="F17" i="2"/>
  <c r="M16" i="2"/>
  <c r="L16" i="2"/>
  <c r="K16" i="2"/>
  <c r="J16" i="2"/>
  <c r="H16" i="2"/>
  <c r="G16" i="2"/>
  <c r="F16" i="2"/>
  <c r="M15" i="2"/>
  <c r="L15" i="2"/>
  <c r="K15" i="2"/>
  <c r="J15" i="2"/>
  <c r="H15" i="2"/>
  <c r="G15" i="2"/>
  <c r="F15" i="2"/>
  <c r="M14" i="2"/>
  <c r="L14" i="2"/>
  <c r="K14" i="2"/>
  <c r="J14" i="2"/>
  <c r="H14" i="2"/>
  <c r="G14" i="2"/>
  <c r="F14" i="2"/>
  <c r="M13" i="2"/>
  <c r="L13" i="2"/>
  <c r="K13" i="2"/>
  <c r="J13" i="2"/>
  <c r="H13" i="2"/>
  <c r="G13" i="2"/>
  <c r="F13" i="2"/>
  <c r="M12" i="2"/>
  <c r="M27" i="2" s="1"/>
  <c r="C22" i="3" s="1"/>
  <c r="L12" i="2"/>
  <c r="L26" i="2" s="1"/>
  <c r="B21" i="3" s="1"/>
  <c r="K12" i="2"/>
  <c r="J12" i="2"/>
  <c r="H12" i="2"/>
  <c r="G12" i="2"/>
  <c r="F12" i="2"/>
  <c r="M11" i="2"/>
  <c r="L11" i="2"/>
  <c r="K11" i="2"/>
  <c r="J11" i="2"/>
  <c r="H11" i="2"/>
  <c r="G11" i="2"/>
  <c r="F11" i="2"/>
  <c r="M10" i="2"/>
  <c r="L10" i="2"/>
  <c r="K10" i="2"/>
  <c r="J10" i="2"/>
  <c r="H10" i="2"/>
  <c r="G10" i="2"/>
  <c r="F10" i="2"/>
  <c r="M9" i="2"/>
  <c r="L9" i="2"/>
  <c r="K9" i="2"/>
  <c r="J9" i="2"/>
  <c r="H9" i="2"/>
  <c r="G9" i="2"/>
  <c r="G29" i="2" s="1"/>
  <c r="E16" i="3" s="1"/>
  <c r="F9" i="2"/>
  <c r="M8" i="2"/>
  <c r="L8" i="2"/>
  <c r="K8" i="2"/>
  <c r="J8" i="2"/>
  <c r="H8" i="2"/>
  <c r="G8" i="2"/>
  <c r="F8" i="2"/>
  <c r="M7" i="2"/>
  <c r="M28" i="2" s="1"/>
  <c r="D22" i="3" s="1"/>
  <c r="L7" i="2"/>
  <c r="H7" i="2"/>
  <c r="G7" i="2"/>
  <c r="F7" i="2"/>
  <c r="F26" i="2" s="1"/>
  <c r="B15" i="3" s="1"/>
  <c r="M6" i="2"/>
  <c r="L6" i="2"/>
  <c r="L27" i="2" s="1"/>
  <c r="C21" i="3" s="1"/>
  <c r="K6" i="2"/>
  <c r="K30" i="2" s="1"/>
  <c r="F20" i="3" s="1"/>
  <c r="J6" i="2"/>
  <c r="J26" i="2" s="1"/>
  <c r="B19" i="3" s="1"/>
  <c r="H6" i="2"/>
  <c r="H29" i="2" s="1"/>
  <c r="E17" i="3" s="1"/>
  <c r="G6" i="2"/>
  <c r="G30" i="2" s="1"/>
  <c r="F16" i="3" s="1"/>
  <c r="F6" i="2"/>
  <c r="F29" i="2" s="1"/>
  <c r="E15" i="3" s="1"/>
  <c r="B7" i="1"/>
  <c r="I17" i="2" s="1"/>
  <c r="I23" i="2" l="1"/>
  <c r="I20" i="2"/>
  <c r="N20" i="2" s="1"/>
  <c r="O20" i="2" s="1"/>
  <c r="I24" i="2"/>
  <c r="N24" i="2" s="1"/>
  <c r="O24" i="2" s="1"/>
  <c r="I19" i="2"/>
  <c r="N19" i="2" s="1"/>
  <c r="O19" i="2" s="1"/>
  <c r="N23" i="2"/>
  <c r="O23" i="2" s="1"/>
  <c r="I10" i="2"/>
  <c r="N10" i="2" s="1"/>
  <c r="O10" i="2" s="1"/>
  <c r="I14" i="2"/>
  <c r="N14" i="2" s="1"/>
  <c r="O14" i="2" s="1"/>
  <c r="I21" i="2"/>
  <c r="N21" i="2" s="1"/>
  <c r="O21" i="2" s="1"/>
  <c r="I8" i="2"/>
  <c r="N8" i="2" s="1"/>
  <c r="O8" i="2" s="1"/>
  <c r="I6" i="2"/>
  <c r="N6" i="2" s="1"/>
  <c r="I16" i="2"/>
  <c r="N16" i="2" s="1"/>
  <c r="O16" i="2" s="1"/>
  <c r="N17" i="2"/>
  <c r="O17" i="2" s="1"/>
  <c r="M30" i="2"/>
  <c r="F22" i="3" s="1"/>
  <c r="K29" i="2"/>
  <c r="E20" i="3" s="1"/>
  <c r="I9" i="2"/>
  <c r="N9" i="2" s="1"/>
  <c r="O9" i="2" s="1"/>
  <c r="I15" i="2"/>
  <c r="N15" i="2" s="1"/>
  <c r="O15" i="2" s="1"/>
  <c r="F27" i="2"/>
  <c r="C15" i="3" s="1"/>
  <c r="L29" i="2"/>
  <c r="E21" i="3" s="1"/>
  <c r="G27" i="2"/>
  <c r="C16" i="3" s="1"/>
  <c r="J28" i="2"/>
  <c r="D19" i="3" s="1"/>
  <c r="M29" i="2"/>
  <c r="E22" i="3" s="1"/>
  <c r="K28" i="2"/>
  <c r="D20" i="3" s="1"/>
  <c r="G28" i="2"/>
  <c r="D16" i="3" s="1"/>
  <c r="L28" i="2"/>
  <c r="D21" i="3" s="1"/>
  <c r="F30" i="2"/>
  <c r="F15" i="3" s="1"/>
  <c r="G26" i="2"/>
  <c r="B16" i="3" s="1"/>
  <c r="J27" i="2"/>
  <c r="C19" i="3" s="1"/>
  <c r="H27" i="2"/>
  <c r="C17" i="3" s="1"/>
  <c r="I13" i="2"/>
  <c r="N13" i="2" s="1"/>
  <c r="O13" i="2" s="1"/>
  <c r="I22" i="2"/>
  <c r="N22" i="2" s="1"/>
  <c r="O22" i="2" s="1"/>
  <c r="H26" i="2"/>
  <c r="B17" i="3" s="1"/>
  <c r="K27" i="2"/>
  <c r="C20" i="3" s="1"/>
  <c r="H30" i="2"/>
  <c r="F17" i="3" s="1"/>
  <c r="I7" i="2"/>
  <c r="I12" i="2"/>
  <c r="N12" i="2" s="1"/>
  <c r="O12" i="2" s="1"/>
  <c r="I18" i="2"/>
  <c r="N18" i="2" s="1"/>
  <c r="O18" i="2" s="1"/>
  <c r="I26" i="2"/>
  <c r="B18" i="3" s="1"/>
  <c r="J30" i="2"/>
  <c r="F19" i="3" s="1"/>
  <c r="I11" i="2"/>
  <c r="N11" i="2" s="1"/>
  <c r="O11" i="2" s="1"/>
  <c r="K26" i="2"/>
  <c r="B20" i="3" s="1"/>
  <c r="I30" i="2" l="1"/>
  <c r="F18" i="3" s="1"/>
  <c r="I27" i="2"/>
  <c r="C18" i="3" s="1"/>
  <c r="N7" i="2"/>
  <c r="O7" i="2" s="1"/>
  <c r="I29" i="2"/>
  <c r="E18" i="3" s="1"/>
  <c r="N27" i="2"/>
  <c r="C23" i="3" s="1"/>
  <c r="O6" i="2"/>
  <c r="N28" i="2"/>
  <c r="D23" i="3" s="1"/>
  <c r="N26" i="2"/>
  <c r="B23" i="3" s="1"/>
  <c r="N29" i="2"/>
  <c r="E23" i="3" s="1"/>
  <c r="N30" i="2"/>
  <c r="F23" i="3" s="1"/>
  <c r="I28" i="2"/>
  <c r="D18" i="3" s="1"/>
</calcChain>
</file>

<file path=xl/sharedStrings.xml><?xml version="1.0" encoding="utf-8"?>
<sst xmlns="http://schemas.openxmlformats.org/spreadsheetml/2006/main" count="330" uniqueCount="277">
  <si>
    <t>BU SERVICES — 2026 CONFERENCE BUDGET · ASSUMPTION INPUTS</t>
  </si>
  <si>
    <t>All blue cells are editable inputs. Black cells are formula-driven. Change any blue cell and the Budget Model updates automatically.</t>
  </si>
  <si>
    <t>SECTION 1 — PERSONNEL (Daily Unbillable Opportunity Cost)</t>
  </si>
  <si>
    <t>Average annual salary (CAD)</t>
  </si>
  <si>
    <t>Applies to all attending personnel</t>
  </si>
  <si>
    <t>Working days per year</t>
  </si>
  <si>
    <t>Excludes weekends, statutory holidays, vacation</t>
  </si>
  <si>
    <t>Daily unbillable cost per person (CAD)</t>
  </si>
  <si>
    <t>Formula: Annual salary ÷ working days</t>
  </si>
  <si>
    <t>Travel days (unbillable — per trip)</t>
  </si>
  <si>
    <t>Avg 1.5 days travel per trip (flight + setup day)</t>
  </si>
  <si>
    <t>SECTION 2 — FLIGHTS FROM QUÉBEC CITY (YQB) — RETURN ECONOMY</t>
  </si>
  <si>
    <t>YQB → Calgary (YYC) return</t>
  </si>
  <si>
    <t>Air Canada / WestJet — approx via Montreal or Toronto</t>
  </si>
  <si>
    <t>YQB → Toronto (YYZ) return</t>
  </si>
  <si>
    <t>Short haul — direct or 1-stop</t>
  </si>
  <si>
    <t>YQB → Vancouver (YVR) return</t>
  </si>
  <si>
    <t>Via Toronto or Montreal hub</t>
  </si>
  <si>
    <t>YQB → Chicago (ORD) return</t>
  </si>
  <si>
    <t>Via Toronto or Montreal — USD fare × 1.38</t>
  </si>
  <si>
    <t>YQB → Houston (IAH/HOU) return</t>
  </si>
  <si>
    <t>YQB → Las Vegas (LAS) return</t>
  </si>
  <si>
    <t>YQB → San Antonio (SAT) return</t>
  </si>
  <si>
    <t>Via Houston or Dallas hub</t>
  </si>
  <si>
    <t>YQB → Austin (AUS) return</t>
  </si>
  <si>
    <t>YQB → Columbus (CMH) return</t>
  </si>
  <si>
    <t>YQB → Timmins (YTS) return</t>
  </si>
  <si>
    <t>Via Toronto — regional connection</t>
  </si>
  <si>
    <t>YQB → Thunder Bay (YQT) return</t>
  </si>
  <si>
    <t>YQB → Halifax (YHZ) return</t>
  </si>
  <si>
    <t>YQB → Paris (CDG) return</t>
  </si>
  <si>
    <t>Air France / Air Canada — economy</t>
  </si>
  <si>
    <t>YQB → Lyon (LYS) return</t>
  </si>
  <si>
    <t>Via Paris CDG — economy</t>
  </si>
  <si>
    <t>YQB → Verona/Milan (MXP) return</t>
  </si>
  <si>
    <t>Via Paris or Frankfurt — economy</t>
  </si>
  <si>
    <t>SECTION 3 — HOTEL (PER NIGHT, PER PERSON, CAD)</t>
  </si>
  <si>
    <t>Canada — major city (Calgary, Ottawa, Vancouver)</t>
  </si>
  <si>
    <t>Per night per room</t>
  </si>
  <si>
    <t>Canada — regional (Timmins, Thunder Bay, Halifax)</t>
  </si>
  <si>
    <t>USA — major city (Houston, Chicago, Las Vegas)</t>
  </si>
  <si>
    <t>Per night per room — USD × 1.38</t>
  </si>
  <si>
    <t>USA — conference hotel premium (San Antonio, Columbus)</t>
  </si>
  <si>
    <t>Convention center hotels command premium</t>
  </si>
  <si>
    <t>Europe — major city (Paris, Lyon, Verona)</t>
  </si>
  <si>
    <t>Per night per room — EUR × 1.52</t>
  </si>
  <si>
    <t>SECTION 4 — DAILY EXPENSES (MEALS, LOCAL TRANSPORT, INCIDENTALS)</t>
  </si>
  <si>
    <t>Canada — daily expenses per person</t>
  </si>
  <si>
    <t>Meals + local transport + incidentals</t>
  </si>
  <si>
    <t>USA — daily expenses per person</t>
  </si>
  <si>
    <t>USD equivalent — meals, Uber, incidentals</t>
  </si>
  <si>
    <t>Europe — daily expenses per person</t>
  </si>
  <si>
    <t>EUR equivalent — meals, metro, incidentals</t>
  </si>
  <si>
    <t>SECTION 5 — BOOTH &amp; EXHIBIT COSTS (UPDATE FROM PROSPECTUS WHERE AVAILABLE)</t>
  </si>
  <si>
    <t>⚠  Booth space fees vary significantly by show. Cells below are estimates — replace with actual prospectus figures when available. Drayage (material handling) is often the most underestimated line — budget 20-30% of space fee for major US shows.</t>
  </si>
  <si>
    <t>Item</t>
  </si>
  <si>
    <t>Cost (CAD)</t>
  </si>
  <si>
    <t>Notes</t>
  </si>
  <si>
    <t>Source</t>
  </si>
  <si>
    <t>Booth space fee — 10×10 / 9sqm Canada</t>
  </si>
  <si>
    <t>IPEIA, IPC, IPCE approx</t>
  </si>
  <si>
    <t>Estimate — verify with show prospectus</t>
  </si>
  <si>
    <t>Booth space fee — 10×10 / 9sqm USA (small show)</t>
  </si>
  <si>
    <t>NDTMA, PPIM, AMPP tabletop</t>
  </si>
  <si>
    <t>Booth space fee — 10×10 / 9sqm USA (major show)</t>
  </si>
  <si>
    <t>API Inspection Summit, API Storage Tank</t>
  </si>
  <si>
    <t>Booth space fee — ASNT 400sqft (20×20)</t>
  </si>
  <si>
    <t>ASNT Columbus — largest NDT show N.America</t>
  </si>
  <si>
    <t>Estimate — verify with ASNT 2026 prospectus</t>
  </si>
  <si>
    <t>Booth space fee — ECNDT 36sqm</t>
  </si>
  <si>
    <t>ECNDT Verona — 6×6m</t>
  </si>
  <si>
    <t>Estimate — verify with ECNDT 2026 prospectus</t>
  </si>
  <si>
    <t>Booth space fee — COFREND 54sqm</t>
  </si>
  <si>
    <t>COFREND Lyon — 54sqm</t>
  </si>
  <si>
    <t>Estimate — verify with COFREND 2026 prospectus</t>
  </si>
  <si>
    <t>Drayage / material handling — Canada</t>
  </si>
  <si>
    <t>Material handling at venue</t>
  </si>
  <si>
    <t>~15-20% of space fee for Canadian shows</t>
  </si>
  <si>
    <t>Drayage / material handling — USA</t>
  </si>
  <si>
    <t>US convention centres charge heavily for this</t>
  </si>
  <si>
    <t>~20-30% of space fee — often underestimated</t>
  </si>
  <si>
    <t>Drayage / material handling — Europe</t>
  </si>
  <si>
    <t>EU shows generally lower than US drayage</t>
  </si>
  <si>
    <t>~15% of space fee</t>
  </si>
  <si>
    <t>Electricity / internet at booth (per show)</t>
  </si>
  <si>
    <t>Power + Wi-Fi hookup — avg per show</t>
  </si>
  <si>
    <t>Estimate — varies $300-$1,200</t>
  </si>
  <si>
    <t>Furniture / carpet rental (if not own)</t>
  </si>
  <si>
    <t>Table, chairs, flooring — avg per show</t>
  </si>
  <si>
    <t>Estimate — varies $400-$1,500</t>
  </si>
  <si>
    <t>Display freight — domestic (one way)</t>
  </si>
  <si>
    <t>Ship banners, displays to show</t>
  </si>
  <si>
    <t>Return freight ~ same amount</t>
  </si>
  <si>
    <t>Display freight — international (one way)</t>
  </si>
  <si>
    <t>Air freight to Europe shows</t>
  </si>
  <si>
    <t>Consider Pelican cases carry-on to reduce</t>
  </si>
  <si>
    <t>Printed materials — brochures / flyers</t>
  </si>
  <si>
    <t>Per show average</t>
  </si>
  <si>
    <t>Reuse across shows where possible</t>
  </si>
  <si>
    <t>Conference registration (standard)</t>
  </si>
  <si>
    <t>Per show — often included with booth</t>
  </si>
  <si>
    <t>Check if included in booth package</t>
  </si>
  <si>
    <t>Conference registration (premium — ASNT/ECNDT)</t>
  </si>
  <si>
    <t>Major international shows</t>
  </si>
  <si>
    <t>ASNT full conference pass ~USD 2,500</t>
  </si>
  <si>
    <t>SECTION 6 — CURRENCY</t>
  </si>
  <si>
    <t>USD → CAD rate</t>
  </si>
  <si>
    <t>Update to current rate as needed</t>
  </si>
  <si>
    <t>EUR → CAD rate</t>
  </si>
  <si>
    <t>BU SERVICES — 2026 CONFERENCE BUDGET MODEL   |   Québec City (YQB) departure base   |   $180K avg salary assumption</t>
  </si>
  <si>
    <t>Blue cells = editable inputs.  Black = formula.  Personnel cost = daily unbillable rate × (conference days + travel days).  Booth costs from Assumptions sheet — update from prospectus. All amounts CAD.</t>
  </si>
  <si>
    <t>Conference</t>
  </si>
  <si>
    <t>Priority</t>
  </si>
  <si>
    <t>Region</t>
  </si>
  <si>
    <t># People</t>
  </si>
  <si>
    <t>Conf
Days</t>
  </si>
  <si>
    <t>✈ Flights
(CAD)</t>
  </si>
  <si>
    <t>🏨 Hotel
(CAD)</t>
  </si>
  <si>
    <t>🍽 Expenses
(CAD)</t>
  </si>
  <si>
    <t>👤 Personnel
Unbillable</t>
  </si>
  <si>
    <t>📦 Booth
Space Fee</t>
  </si>
  <si>
    <t>🔧 Drayage &amp;
Services</t>
  </si>
  <si>
    <t>🚚 Freight &amp;
Materials</t>
  </si>
  <si>
    <t>📋 Regist-
ration</t>
  </si>
  <si>
    <t>TOTAL
COST (CAD)</t>
  </si>
  <si>
    <t>Cost per
Person</t>
  </si>
  <si>
    <t>Key Attendees</t>
  </si>
  <si>
    <t>Initiative Link</t>
  </si>
  <si>
    <t>Boost
Score</t>
  </si>
  <si>
    <t>YQB return fares</t>
  </si>
  <si>
    <t>Nightly rate × nights</t>
  </si>
  <si>
    <t>Daily rate × days</t>
  </si>
  <si>
    <t>Salary cost of time
away from billing</t>
  </si>
  <si>
    <t>Space fee from
prospectus</t>
  </si>
  <si>
    <t>Drayage + elec
+ furniture</t>
  </si>
  <si>
    <t>Freight + printed
materials</t>
  </si>
  <si>
    <t>Conference passes
(if not in booth pkg)</t>
  </si>
  <si>
    <t>IPEIA 2026</t>
  </si>
  <si>
    <t>HIGH</t>
  </si>
  <si>
    <t>Canada</t>
  </si>
  <si>
    <t>Max · Keith · Tim · Alex · Rick · Marcos</t>
  </si>
  <si>
    <t>Pipeline DA · Nuclear · Mining · Base Biz</t>
  </si>
  <si>
    <t>CNA 2026</t>
  </si>
  <si>
    <t>Oli · Jon · LP · Sha</t>
  </si>
  <si>
    <t>Nuclear/OPG — regulatory relationships</t>
  </si>
  <si>
    <t>IPC Pipeline Conf.</t>
  </si>
  <si>
    <t>Max · Vinoth</t>
  </si>
  <si>
    <t>Pipeline DA · $30M initiative</t>
  </si>
  <si>
    <t>PPIM 2026</t>
  </si>
  <si>
    <t>USA</t>
  </si>
  <si>
    <t>Jeff · Anthony · Aaron</t>
  </si>
  <si>
    <t>Pipeline DA · US market</t>
  </si>
  <si>
    <t>NDTMA 2026</t>
  </si>
  <si>
    <t>Dillon · Jeff · Fred · Guillaume · Anthony</t>
  </si>
  <si>
    <t>Mining NDT · Nuclear · Base Business</t>
  </si>
  <si>
    <t>AMPP 2026</t>
  </si>
  <si>
    <t>Vincent Ribouleau</t>
  </si>
  <si>
    <t>Pipeline DA · 3X Composite · Base Biz</t>
  </si>
  <si>
    <t>API Inspection Summit</t>
  </si>
  <si>
    <t>Keith · Tim · Alex</t>
  </si>
  <si>
    <t>Pipeline DA · Base Biz · 3X</t>
  </si>
  <si>
    <t>ECNDT Verona</t>
  </si>
  <si>
    <t>Europe</t>
  </si>
  <si>
    <t>Xavier · Guillaume · Lucy · Hervé · Fabian</t>
  </si>
  <si>
    <t>All initiatives · Base Business</t>
  </si>
  <si>
    <t>ASNT 2026</t>
  </si>
  <si>
    <t>TBD ×4</t>
  </si>
  <si>
    <t>IPCE Pipeline Expo</t>
  </si>
  <si>
    <t>Pipeline DA</t>
  </si>
  <si>
    <t>API Storage Tank Expo</t>
  </si>
  <si>
    <t>MED-H</t>
  </si>
  <si>
    <t>Keith · Tim</t>
  </si>
  <si>
    <t>API Insp. Summit (EIG)</t>
  </si>
  <si>
    <t>TBD ×2 (coordinate w/ Ekoscan)</t>
  </si>
  <si>
    <t>Pipeline DA · Base Business</t>
  </si>
  <si>
    <t>CIM Vancouver</t>
  </si>
  <si>
    <t>MED</t>
  </si>
  <si>
    <t>Vinoth · Max (walkin)</t>
  </si>
  <si>
    <t>Mining NDT · $17.9M initiative</t>
  </si>
  <si>
    <t>Canadian Mining Expo</t>
  </si>
  <si>
    <t>Keith · Speaker TBC</t>
  </si>
  <si>
    <t>Mining NDT · 3X Composite</t>
  </si>
  <si>
    <t>T&amp;D Conference</t>
  </si>
  <si>
    <t>Math · Sha</t>
  </si>
  <si>
    <t>Powerline · $10.2M initiative</t>
  </si>
  <si>
    <t>COFREND Lyon</t>
  </si>
  <si>
    <t>Guillaume N · Guillaume P · Michael · Sanae · Didier · Samy</t>
  </si>
  <si>
    <t>Base Business · All initiatives</t>
  </si>
  <si>
    <t>Cigre Paris</t>
  </si>
  <si>
    <t>Math +1</t>
  </si>
  <si>
    <t>Powerline · EIG group alignment</t>
  </si>
  <si>
    <t>CEN CAN Expo</t>
  </si>
  <si>
    <t>TBD ×2</t>
  </si>
  <si>
    <t>Mining NDT · Ontario mining sector</t>
  </si>
  <si>
    <t>Smart Energy Halifax</t>
  </si>
  <si>
    <t>LOW</t>
  </si>
  <si>
    <t>Alex · Eric · Vinoth (walkin)</t>
  </si>
  <si>
    <t>Powerline · Base Business</t>
  </si>
  <si>
    <t xml:space="preserve">  SUBTOTAL — High Priority</t>
  </si>
  <si>
    <t xml:space="preserve">  SUBTOTAL — Medium-High</t>
  </si>
  <si>
    <t xml:space="preserve">  SUBTOTAL — Medium</t>
  </si>
  <si>
    <t xml:space="preserve">  SUBTOTAL — Low / Walkin</t>
  </si>
  <si>
    <t xml:space="preserve">  TOTAL 2026 CONFERENCE BUDGET — BU SERVICES (CAD)</t>
  </si>
  <si>
    <t>Flights</t>
  </si>
  <si>
    <t>Hotels</t>
  </si>
  <si>
    <t>Expenses</t>
  </si>
  <si>
    <t>Personnel
Opport. Cost</t>
  </si>
  <si>
    <t>Booth
Space</t>
  </si>
  <si>
    <t>Drayage &amp;
Services</t>
  </si>
  <si>
    <t>Freight &amp;
Materials</t>
  </si>
  <si>
    <t>Registration</t>
  </si>
  <si>
    <t>GRAND
TOTAL</t>
  </si>
  <si>
    <t>💡  PERSONNEL UNBILLABLE COST (Col I) reflects the salary cost of having staff away from revenue-generating work. Based on $180K avg annual salary ÷ 235 working days = $766/person/day. This is the true opportunity cost — it does NOT mean staff are paid extra, but that $766/day of potential billable time is lost per person per day away. Include this when comparing conference ROI vs other growth investments. Travel days (1.5 avg per trip) are included in the calculation.</t>
  </si>
  <si>
    <t>BU SERVICES — CONFERENCE STRATEGY · KEY RECOMMENDATIONS 2026</t>
  </si>
  <si>
    <t>INITIATIVE → CONFERENCE COVERAGE MAP</t>
  </si>
  <si>
    <t>Initiative</t>
  </si>
  <si>
    <t>5yr Target</t>
  </si>
  <si>
    <t>Primary Conferences</t>
  </si>
  <si>
    <t>Owner</t>
  </si>
  <si>
    <t>Coverage Gap?</t>
  </si>
  <si>
    <t>Mining NDT</t>
  </si>
  <si>
    <t>$17.9M</t>
  </si>
  <si>
    <t>NDTMA · ECNDT · ASNT · Canadian Mining Expo · CIM Vancouver · CEN CAN Expo</t>
  </si>
  <si>
    <t>Vinoth / Max</t>
  </si>
  <si>
    <t>PARTIAL — CIM on waitlist</t>
  </si>
  <si>
    <t>$30.0M</t>
  </si>
  <si>
    <t>PPIM · IPEIA · IPC Pipeline · IPCE · AMPP · API Inspection · API Storage Tank</t>
  </si>
  <si>
    <t>Rick Carlton</t>
  </si>
  <si>
    <t>GOOD — 7 shows</t>
  </si>
  <si>
    <t>Powerline</t>
  </si>
  <si>
    <t>$10.2M</t>
  </si>
  <si>
    <t>T&amp;D Conference Chicago · Cigre Paris · Smart Energy Halifax</t>
  </si>
  <si>
    <t>Mathieu / Max</t>
  </si>
  <si>
    <t>WEAK — only 1 dedicated show</t>
  </si>
  <si>
    <t>Nuclear / OPG</t>
  </si>
  <si>
    <t>$47.9M</t>
  </si>
  <si>
    <t>CNA Ottawa · IPEIA · NDTMA · ECNDT Verona</t>
  </si>
  <si>
    <t>Olivier / Vinoth</t>
  </si>
  <si>
    <t>WEAK — largest initiative, fewest shows</t>
  </si>
  <si>
    <t>3X Composite</t>
  </si>
  <si>
    <t>$11.4M</t>
  </si>
  <si>
    <t>AMPP · API Inspection Summit · API Storage Tank · ECNDT · IPEIA</t>
  </si>
  <si>
    <t>EMBEDDED — no standalone show needed</t>
  </si>
  <si>
    <t>Base Business</t>
  </si>
  <si>
    <t>Ongoing</t>
  </si>
  <si>
    <t>IPEIA · NDTMA · AMPP · ECNDT · ASNT · All API shows</t>
  </si>
  <si>
    <t>Full team</t>
  </si>
  <si>
    <t>GOOD</t>
  </si>
  <si>
    <t>BUDGET SNAPSHOT — COST CATEGORY BREAKDOWN</t>
  </si>
  <si>
    <t>Category</t>
  </si>
  <si>
    <t>HIGH Priority</t>
  </si>
  <si>
    <t>MED-HIGH</t>
  </si>
  <si>
    <t>MEDIUM</t>
  </si>
  <si>
    <t>TOTAL</t>
  </si>
  <si>
    <t>✈ Flights</t>
  </si>
  <si>
    <t>🏨 Hotel</t>
  </si>
  <si>
    <t>🍽 Expenses</t>
  </si>
  <si>
    <t>👤 Personnel Unbillable</t>
  </si>
  <si>
    <t>📦 Booth Space</t>
  </si>
  <si>
    <t>🔧 Drayage &amp; Services</t>
  </si>
  <si>
    <t>🚚 Freight &amp; Materials</t>
  </si>
  <si>
    <t>📋 Registration</t>
  </si>
  <si>
    <t>KEY RECOMMENDATIONS &amp; ACTION ITEMS</t>
  </si>
  <si>
    <t>🔴 ACTION NOW</t>
  </si>
  <si>
    <t>Coordinate API Inspection Summit — Nucleom and Ekoscan BU attending separately. Combine booth, split cost. Saves ~$12,000.</t>
  </si>
  <si>
    <t>Pursue Canadian Mining Expo waitlist aggressively — waitlist + speaker slot dramatically improves Mining NDT credibility with Timmins-area operators.</t>
  </si>
  <si>
    <t>🟡 GAP</t>
  </si>
  <si>
    <t>Nuclear/OPG ($47.9M) is the largest initiative but has only 2 dedicated shows (CNA + IPEIA). Consider adding a CANDU Owners Group or OPG-specific stakeholder event.</t>
  </si>
  <si>
    <t>Powerline initiative ($10.2M) has only T&amp;D Chicago as a dedicated show. Add one Canadian utility event (Hydro One forum, CEATI conference) to strengthen.</t>
  </si>
  <si>
    <t>🟢 STRENGTH</t>
  </si>
  <si>
    <t>Pipeline DA has excellent coverage across 7 shows. Rick Carlton should lead messaging consistency across PPIM → AMPP → IPC → IPCE → both API shows.</t>
  </si>
  <si>
    <t>IPEIA Calgary is your single highest-ROI event — all 5 initiatives + base business + all key personnel. Treat as anchor event for yearly commercial planning.</t>
  </si>
  <si>
    <t>💡 INSIGHT</t>
  </si>
  <si>
    <t>Personnel unbillable cost (~$766/day/person) is your largest hidden cost. A 6-person team at a 3-day show = $13,800 in opportunity cost alone — before flights or hotels.</t>
  </si>
  <si>
    <t>SKIP Asia Pacific NDT (Honolulu) — $12K travel cost, zero North America commercial return. Redirect budget to Nuclear initiative prospecting or Powerline gap show.</t>
  </si>
  <si>
    <t>COFREND Lyon (11 people × 3 days) is the most expensive single event on personnel cost alone ($25,000+). Confirm which EIG-side attendees are truly necessary for BU Services objectives.</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</si>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</sst>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quot;($&quot;#,##0\);\-"/>
  </numFmts>
  <fonts count="45" x14ac:knownFonts="1">
    <font>
      <sz val="11"/>
      <color theme="1"/>
      <name val="Calibri"/>
      <family val="2"/>
      <charset val="1"/>
    </font>
    <font>
      <b/>
      <sz val="14"/>
      <color rgb="FFFFFFFF"/>
      <name val="Calibri"/>
      <charset val="1"/>
    </font>
    <font>
      <i/>
      <sz val="9"/>
      <color rgb="FF6678A0"/>
      <name val="Calibri"/>
      <charset val="1"/>
    </font>
    <font>
      <b/>
      <sz val="9"/>
      <color rgb="FFFFFFFF"/>
      <name val="Calibri"/>
      <charset val="1"/>
    </font>
    <font>
      <sz val="9"/>
      <color rgb="FF1A2A4A"/>
      <name val="Calibri"/>
      <charset val="1"/>
    </font>
    <font>
      <b/>
      <sz val="10"/>
      <color rgb="FF0000FF"/>
      <name val="Calibri"/>
      <charset val="1"/>
    </font>
    <font>
      <i/>
      <sz val="8"/>
      <color rgb="FF6678A0"/>
      <name val="Calibri"/>
      <charset val="1"/>
    </font>
    <font>
      <b/>
      <sz val="10"/>
      <color rgb="FF000000"/>
      <name val="Calibri"/>
      <charset val="1"/>
    </font>
    <font>
      <i/>
      <sz val="8"/>
      <color rgb="FF7A4A00"/>
      <name val="Calibri"/>
      <charset val="1"/>
    </font>
    <font>
      <i/>
      <sz val="8"/>
      <color rgb="FFC9860A"/>
      <name val="Calibri"/>
      <charset val="1"/>
    </font>
    <font>
      <b/>
      <sz val="13"/>
      <color rgb="FFFFFFFF"/>
      <name val="Calibri"/>
      <charset val="1"/>
    </font>
    <font>
      <i/>
      <sz val="7"/>
      <color rgb="FF6678A0"/>
      <name val="Calibri"/>
      <charset val="1"/>
    </font>
    <font>
      <b/>
      <sz val="9"/>
      <color rgb="FF0A1F5C"/>
      <name val="Calibri"/>
      <charset val="1"/>
    </font>
    <font>
      <b/>
      <sz val="8"/>
      <color rgb="FF16A34A"/>
      <name val="Calibri"/>
      <charset val="1"/>
    </font>
    <font>
      <sz val="9"/>
      <color rgb="FF6678A0"/>
      <name val="Calibri"/>
      <charset val="1"/>
    </font>
    <font>
      <sz val="9"/>
      <color rgb="FF000000"/>
      <name val="Calibri"/>
      <charset val="1"/>
    </font>
    <font>
      <b/>
      <sz val="10"/>
      <color rgb="FF0A1F5C"/>
      <name val="Calibri"/>
      <charset val="1"/>
    </font>
    <font>
      <sz val="9"/>
      <color rgb="FF4B5563"/>
      <name val="Calibri"/>
      <charset val="1"/>
    </font>
    <font>
      <i/>
      <sz val="8"/>
      <color rgb="FF1A5CA8"/>
      <name val="Calibri"/>
      <charset val="1"/>
    </font>
    <font>
      <b/>
      <sz val="10"/>
      <color rgb="FF16A34A"/>
      <name val="Calibri"/>
      <charset val="1"/>
    </font>
    <font>
      <sz val="9"/>
      <color rgb="FF9CA3AF"/>
      <name val="Calibri"/>
      <charset val="1"/>
    </font>
    <font>
      <b/>
      <sz val="10"/>
      <color rgb="FFC9860A"/>
      <name val="Calibri"/>
      <charset val="1"/>
    </font>
    <font>
      <b/>
      <sz val="8"/>
      <color rgb="FF1A5CA8"/>
      <name val="Calibri"/>
      <charset val="1"/>
    </font>
    <font>
      <b/>
      <sz val="8"/>
      <color rgb="FFC9860A"/>
      <name val="Calibri"/>
      <charset val="1"/>
    </font>
    <font>
      <b/>
      <sz val="10"/>
      <color rgb="FF6B7280"/>
      <name val="Calibri"/>
      <charset val="1"/>
    </font>
    <font>
      <b/>
      <sz val="8"/>
      <color rgb="FF6B7280"/>
      <name val="Calibri"/>
      <charset val="1"/>
    </font>
    <font>
      <b/>
      <sz val="10"/>
      <color rgb="FF1A5CA8"/>
      <name val="Calibri"/>
      <charset val="1"/>
    </font>
    <font>
      <b/>
      <sz val="12"/>
      <color rgb="FFFFFFFF"/>
      <name val="Calibri"/>
      <charset val="1"/>
    </font>
    <font>
      <b/>
      <sz val="11"/>
      <color rgb="FF00AEEF"/>
      <name val="Calibri"/>
      <charset val="1"/>
    </font>
    <font>
      <sz val="8"/>
      <color rgb="FF7A4A00"/>
      <name val="Calibri"/>
      <charset val="1"/>
    </font>
    <font>
      <b/>
      <sz val="10"/>
      <color rgb="FFFFFFFF"/>
      <name val="Calibri"/>
      <charset val="1"/>
    </font>
    <font>
      <sz val="8"/>
      <color rgb="FF0A1F5C"/>
      <name val="Calibri"/>
      <charset val="1"/>
    </font>
    <font>
      <b/>
      <sz val="9"/>
      <color rgb="FF16A34A"/>
      <name val="Calibri"/>
      <charset val="1"/>
    </font>
    <font>
      <b/>
      <sz val="9"/>
      <color rgb="FFC9860A"/>
      <name val="Calibri"/>
      <charset val="1"/>
    </font>
    <font>
      <b/>
      <sz val="9"/>
      <color rgb="FF1A5CA8"/>
      <name val="Calibri"/>
      <charset val="1"/>
    </font>
    <font>
      <b/>
      <sz val="9"/>
      <color rgb="FFB91C1C"/>
      <name val="Calibri"/>
      <charset val="1"/>
    </font>
    <font>
      <b/>
      <sz val="10"/>
      <color rgb="FF6D28D9"/>
      <name val="Calibri"/>
      <charset val="1"/>
    </font>
    <font>
      <b/>
      <sz val="9"/>
      <color rgb="FF6D28D9"/>
      <name val="Calibri"/>
      <charset val="1"/>
    </font>
    <font>
      <b/>
      <sz val="10"/>
      <color rgb="FF0D5050"/>
      <name val="Calibri"/>
      <charset val="1"/>
    </font>
    <font>
      <b/>
      <sz val="9"/>
      <color rgb="FF0D5050"/>
      <name val="Calibri"/>
      <charset val="1"/>
    </font>
    <font>
      <sz val="9"/>
      <color rgb="FF16A34A"/>
      <name val="Calibri"/>
      <charset val="1"/>
    </font>
    <font>
      <sz val="9"/>
      <color rgb="FF1A5CA8"/>
      <name val="Calibri"/>
      <charset val="1"/>
    </font>
    <font>
      <sz val="9"/>
      <color rgb="FFC9860A"/>
      <name val="Calibri"/>
      <charset val="1"/>
    </font>
    <font>
      <sz val="9"/>
      <color rgb="FF6B7280"/>
      <name val="Calibri"/>
      <charset val="1"/>
    </font>
    <font>
      <b/>
      <sz val="9"/>
      <color rgb="FF00AEEF"/>
      <name val="Calibri"/>
      <charset val="1"/>
    </font>
  </fonts>
  <fills count="17">
    <fill>
      <patternFill patternType="none"/>
    </fill>
    <fill>
      <patternFill patternType="gray125"/>
    </fill>
    <fill>
      <patternFill patternType="solid">
        <fgColor rgb="FF0A1F5C"/>
        <bgColor rgb="FF1A2A4A"/>
      </patternFill>
    </fill>
    <fill>
      <patternFill patternType="solid">
        <fgColor rgb="FFF4F7FB"/>
        <bgColor rgb="FFF3F4F6"/>
      </patternFill>
    </fill>
    <fill>
      <patternFill patternType="solid">
        <fgColor rgb="FFEFF6FF"/>
        <bgColor rgb="FFF4F7FB"/>
      </patternFill>
    </fill>
    <fill>
      <patternFill patternType="solid">
        <fgColor rgb="FF1A5CA8"/>
        <bgColor rgb="FF0D5050"/>
      </patternFill>
    </fill>
    <fill>
      <patternFill patternType="solid">
        <fgColor rgb="FFC9860A"/>
        <bgColor rgb="FFFF6600"/>
      </patternFill>
    </fill>
    <fill>
      <patternFill patternType="solid">
        <fgColor rgb="FFFEF3C7"/>
        <bgColor rgb="FFFFF8E1"/>
      </patternFill>
    </fill>
    <fill>
      <patternFill patternType="solid">
        <fgColor rgb="FFFFFFFF"/>
        <bgColor rgb="FFF4F7FB"/>
      </patternFill>
    </fill>
    <fill>
      <patternFill patternType="solid">
        <fgColor rgb="FFDCFCE7"/>
        <bgColor rgb="FFEFF6FF"/>
      </patternFill>
    </fill>
    <fill>
      <patternFill patternType="solid">
        <fgColor rgb="FFFFF8E1"/>
        <bgColor rgb="FFFEF3C7"/>
      </patternFill>
    </fill>
    <fill>
      <patternFill patternType="solid">
        <fgColor rgb="FFDBEAFE"/>
        <bgColor rgb="FFD0DCF0"/>
      </patternFill>
    </fill>
    <fill>
      <patternFill patternType="solid">
        <fgColor rgb="FFF3F4F6"/>
        <bgColor rgb="FFF4F7FB"/>
      </patternFill>
    </fill>
    <fill>
      <patternFill patternType="solid">
        <fgColor rgb="FF16A34A"/>
        <bgColor rgb="FF008080"/>
      </patternFill>
    </fill>
    <fill>
      <patternFill patternType="solid">
        <fgColor rgb="FFFEE2E2"/>
        <bgColor rgb="FFFEF3C7"/>
      </patternFill>
    </fill>
    <fill>
      <patternFill patternType="solid">
        <fgColor rgb="FF6D28D9"/>
        <bgColor rgb="FF800080"/>
      </patternFill>
    </fill>
    <fill>
      <patternFill patternType="solid">
        <fgColor rgb="FF0D5050"/>
        <bgColor rgb="FF1A2A4A"/>
      </patternFill>
    </fill>
  </fills>
  <borders count="2">
    <border>
      <left/>
      <right/>
      <top/>
      <bottom/>
      <diagonal/>
    </border>
    <border>
      <left/>
      <right/>
      <top/>
      <bottom style="thin">
        <color rgb="FFD0DCF0"/>
      </bottom>
      <diagonal/>
    </border>
  </borders>
  <cellStyleXfs count="1">
    <xf numFmtId="0" fontId="0" fillId="0" borderId="0"/>
  </cellStyleXfs>
  <cellXfs count="108">
    <xf numFmtId="0" fontId="0" fillId="0" borderId="0" xfId="0"/>
    <xf numFmtId="0" fontId="4" fillId="3" borderId="1" xfId="0" applyFont="1" applyFill="1" applyBorder="1" applyAlignment="1">
      <alignment horizontal="left" vertical="center" wrapText="1"/>
    </xf>
    <xf numFmtId="164" fontId="5" fillId="4" borderId="1" xfId="0" applyNumberFormat="1" applyFont="1" applyFill="1" applyBorder="1" applyAlignment="1">
      <alignment horizontal="right" vertical="center" wrapText="1"/>
    </xf>
    <xf numFmtId="0" fontId="6" fillId="3" borderId="1" xfId="0" applyFont="1" applyFill="1" applyBorder="1" applyAlignment="1">
      <alignment horizontal="left" vertical="center" wrapText="1"/>
    </xf>
    <xf numFmtId="0" fontId="0" fillId="0" borderId="1" xfId="0" applyBorder="1"/>
    <xf numFmtId="1" fontId="5" fillId="4" borderId="1" xfId="0" applyNumberFormat="1" applyFont="1" applyFill="1" applyBorder="1" applyAlignment="1">
      <alignment horizontal="right" vertical="center" wrapText="1"/>
    </xf>
    <xf numFmtId="164" fontId="7" fillId="3" borderId="1" xfId="0" applyNumberFormat="1" applyFont="1" applyFill="1" applyBorder="1" applyAlignment="1">
      <alignment horizontal="right" vertical="center" wrapText="1"/>
    </xf>
    <xf numFmtId="165" fontId="5" fillId="4" borderId="1" xfId="0" applyNumberFormat="1" applyFont="1" applyFill="1" applyBorder="1" applyAlignment="1">
      <alignment horizontal="right" vertical="center" wrapText="1"/>
    </xf>
    <xf numFmtId="0" fontId="3" fillId="6" borderId="0" xfId="0" applyFont="1" applyFill="1" applyAlignment="1">
      <alignment horizontal="left" vertical="center" wrapText="1"/>
    </xf>
    <xf numFmtId="0" fontId="3" fillId="6" borderId="0" xfId="0" applyFont="1" applyFill="1" applyAlignment="1">
      <alignment horizontal="center" vertical="center" wrapText="1"/>
    </xf>
    <xf numFmtId="0" fontId="9" fillId="3"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2" fontId="5" fillId="4" borderId="1" xfId="0" applyNumberFormat="1" applyFont="1" applyFill="1" applyBorder="1" applyAlignment="1">
      <alignment horizontal="right" vertical="center" wrapText="1"/>
    </xf>
    <xf numFmtId="0" fontId="3" fillId="2" borderId="0" xfId="0" applyFont="1" applyFill="1" applyAlignment="1">
      <alignment horizontal="center" vertical="center" wrapText="1"/>
    </xf>
    <xf numFmtId="0" fontId="0" fillId="3" borderId="0" xfId="0" applyFill="1"/>
    <xf numFmtId="0" fontId="11" fillId="3" borderId="0" xfId="0" applyFont="1" applyFill="1" applyAlignment="1">
      <alignment horizontal="center" vertical="center" wrapText="1"/>
    </xf>
    <xf numFmtId="0" fontId="12" fillId="8" borderId="1" xfId="0" applyFont="1" applyFill="1" applyBorder="1" applyAlignment="1">
      <alignment horizontal="left" vertical="center" wrapText="1"/>
    </xf>
    <xf numFmtId="0" fontId="13" fillId="9"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66" fontId="15" fillId="8" borderId="1" xfId="0" applyNumberFormat="1" applyFont="1" applyFill="1" applyBorder="1" applyAlignment="1">
      <alignment horizontal="right" vertical="center" wrapText="1"/>
    </xf>
    <xf numFmtId="164" fontId="15" fillId="10" borderId="1" xfId="0" applyNumberFormat="1" applyFont="1" applyFill="1" applyBorder="1" applyAlignment="1">
      <alignment horizontal="right" vertical="center" wrapText="1"/>
    </xf>
    <xf numFmtId="164" fontId="16" fillId="3" borderId="1" xfId="0" applyNumberFormat="1" applyFont="1" applyFill="1" applyBorder="1" applyAlignment="1">
      <alignment horizontal="right" vertical="center" wrapText="1"/>
    </xf>
    <xf numFmtId="164" fontId="4" fillId="8" borderId="1" xfId="0" applyNumberFormat="1" applyFont="1" applyFill="1" applyBorder="1" applyAlignment="1">
      <alignment horizontal="right" vertical="center" wrapText="1"/>
    </xf>
    <xf numFmtId="0" fontId="17" fillId="8"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165" fontId="19" fillId="9" borderId="1"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166" fontId="15" fillId="3" borderId="1" xfId="0" applyNumberFormat="1" applyFont="1" applyFill="1" applyBorder="1" applyAlignment="1">
      <alignment horizontal="right" vertical="center" wrapText="1"/>
    </xf>
    <xf numFmtId="166" fontId="20" fillId="3" borderId="1" xfId="0" applyNumberFormat="1" applyFont="1" applyFill="1" applyBorder="1" applyAlignment="1">
      <alignment horizontal="center" vertical="center"/>
    </xf>
    <xf numFmtId="164" fontId="4" fillId="3" borderId="1" xfId="0" applyNumberFormat="1" applyFont="1" applyFill="1" applyBorder="1" applyAlignment="1">
      <alignment horizontal="right" vertical="center" wrapText="1"/>
    </xf>
    <xf numFmtId="0" fontId="17"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165" fontId="21" fillId="7" borderId="1" xfId="0" applyNumberFormat="1"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166" fontId="20" fillId="8" borderId="1" xfId="0" applyNumberFormat="1" applyFont="1" applyFill="1" applyBorder="1" applyAlignment="1">
      <alignment horizontal="center" vertical="center"/>
    </xf>
    <xf numFmtId="165" fontId="24" fillId="12" borderId="1" xfId="0" applyNumberFormat="1" applyFont="1" applyFill="1" applyBorder="1" applyAlignment="1">
      <alignment horizontal="center" vertical="center" wrapText="1"/>
    </xf>
    <xf numFmtId="0" fontId="25" fillId="12" borderId="1" xfId="0" applyFont="1" applyFill="1" applyBorder="1" applyAlignment="1">
      <alignment horizontal="center" vertical="center" wrapText="1"/>
    </xf>
    <xf numFmtId="164" fontId="19" fillId="9" borderId="0" xfId="0" applyNumberFormat="1" applyFont="1" applyFill="1" applyAlignment="1">
      <alignment horizontal="right" vertical="center" wrapText="1"/>
    </xf>
    <xf numFmtId="0" fontId="0" fillId="9" borderId="0" xfId="0" applyFill="1"/>
    <xf numFmtId="164" fontId="26" fillId="11" borderId="0" xfId="0" applyNumberFormat="1" applyFont="1" applyFill="1" applyAlignment="1">
      <alignment horizontal="right" vertical="center" wrapText="1"/>
    </xf>
    <xf numFmtId="0" fontId="0" fillId="11" borderId="0" xfId="0" applyFill="1"/>
    <xf numFmtId="164" fontId="21" fillId="7" borderId="0" xfId="0" applyNumberFormat="1" applyFont="1" applyFill="1" applyAlignment="1">
      <alignment horizontal="right" vertical="center" wrapText="1"/>
    </xf>
    <xf numFmtId="0" fontId="0" fillId="7" borderId="0" xfId="0" applyFill="1"/>
    <xf numFmtId="164" fontId="24" fillId="12" borderId="0" xfId="0" applyNumberFormat="1" applyFont="1" applyFill="1" applyAlignment="1">
      <alignment horizontal="right" vertical="center" wrapText="1"/>
    </xf>
    <xf numFmtId="0" fontId="0" fillId="12" borderId="0" xfId="0" applyFill="1"/>
    <xf numFmtId="164" fontId="28" fillId="2" borderId="0" xfId="0" applyNumberFormat="1" applyFont="1" applyFill="1" applyAlignment="1">
      <alignment horizontal="right" vertical="center" wrapText="1"/>
    </xf>
    <xf numFmtId="0" fontId="30" fillId="13" borderId="1"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30" fillId="5" borderId="1" xfId="0" applyFont="1" applyFill="1" applyBorder="1" applyAlignment="1">
      <alignment horizontal="left" vertical="center" wrapText="1"/>
    </xf>
    <xf numFmtId="0" fontId="26" fillId="8" borderId="1"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30" fillId="6" borderId="1" xfId="0" applyFont="1" applyFill="1" applyBorder="1" applyAlignment="1">
      <alignment horizontal="left" vertical="center" wrapText="1"/>
    </xf>
    <xf numFmtId="0" fontId="21" fillId="3" borderId="1"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0" fillId="15" borderId="1" xfId="0" applyFont="1" applyFill="1" applyBorder="1" applyAlignment="1">
      <alignment horizontal="left" vertical="center" wrapText="1"/>
    </xf>
    <xf numFmtId="0" fontId="36" fillId="8" borderId="1" xfId="0" applyFont="1" applyFill="1" applyBorder="1" applyAlignment="1">
      <alignment horizontal="center" vertical="center" wrapText="1"/>
    </xf>
    <xf numFmtId="0" fontId="37" fillId="8" borderId="1" xfId="0" applyFont="1" applyFill="1" applyBorder="1" applyAlignment="1">
      <alignment horizontal="center" vertical="center" wrapText="1"/>
    </xf>
    <xf numFmtId="0" fontId="30" fillId="16" borderId="1" xfId="0" applyFont="1" applyFill="1" applyBorder="1" applyAlignment="1">
      <alignment horizontal="left" vertical="center" wrapText="1"/>
    </xf>
    <xf numFmtId="0" fontId="38" fillId="3" borderId="1" xfId="0" applyFont="1" applyFill="1" applyBorder="1" applyAlignment="1">
      <alignment horizontal="center" vertical="center" wrapText="1"/>
    </xf>
    <xf numFmtId="0" fontId="39" fillId="3" borderId="1"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16"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164" fontId="40" fillId="3" borderId="1" xfId="0" applyNumberFormat="1" applyFont="1" applyFill="1" applyBorder="1" applyAlignment="1">
      <alignment horizontal="right" vertical="center" wrapText="1"/>
    </xf>
    <xf numFmtId="164" fontId="41" fillId="3" borderId="1" xfId="0" applyNumberFormat="1" applyFont="1" applyFill="1" applyBorder="1" applyAlignment="1">
      <alignment horizontal="right" vertical="center" wrapText="1"/>
    </xf>
    <xf numFmtId="164" fontId="42" fillId="3" borderId="1" xfId="0" applyNumberFormat="1" applyFont="1" applyFill="1" applyBorder="1" applyAlignment="1">
      <alignment horizontal="right" vertical="center" wrapText="1"/>
    </xf>
    <xf numFmtId="164" fontId="43" fillId="3" borderId="1" xfId="0" applyNumberFormat="1" applyFont="1" applyFill="1" applyBorder="1" applyAlignment="1">
      <alignment horizontal="right" vertical="center" wrapText="1"/>
    </xf>
    <xf numFmtId="164" fontId="12" fillId="3" borderId="1" xfId="0" applyNumberFormat="1" applyFont="1" applyFill="1" applyBorder="1" applyAlignment="1">
      <alignment horizontal="right" vertical="center" wrapText="1"/>
    </xf>
    <xf numFmtId="164" fontId="40" fillId="8" borderId="1" xfId="0" applyNumberFormat="1" applyFont="1" applyFill="1" applyBorder="1" applyAlignment="1">
      <alignment horizontal="right" vertical="center" wrapText="1"/>
    </xf>
    <xf numFmtId="164" fontId="41" fillId="8" borderId="1" xfId="0" applyNumberFormat="1" applyFont="1" applyFill="1" applyBorder="1" applyAlignment="1">
      <alignment horizontal="right" vertical="center" wrapText="1"/>
    </xf>
    <xf numFmtId="164" fontId="42" fillId="8" borderId="1" xfId="0" applyNumberFormat="1" applyFont="1" applyFill="1" applyBorder="1" applyAlignment="1">
      <alignment horizontal="right" vertical="center" wrapText="1"/>
    </xf>
    <xf numFmtId="164" fontId="43" fillId="8" borderId="1" xfId="0" applyNumberFormat="1" applyFont="1" applyFill="1" applyBorder="1" applyAlignment="1">
      <alignment horizontal="right" vertical="center" wrapText="1"/>
    </xf>
    <xf numFmtId="164" fontId="44" fillId="2" borderId="1" xfId="0" applyNumberFormat="1" applyFont="1" applyFill="1" applyBorder="1" applyAlignment="1">
      <alignment horizontal="right" vertical="center" wrapText="1"/>
    </xf>
    <xf numFmtId="164" fontId="30" fillId="2" borderId="1" xfId="0" applyNumberFormat="1" applyFont="1" applyFill="1" applyBorder="1" applyAlignment="1">
      <alignment horizontal="right" vertical="center" wrapText="1"/>
    </xf>
    <xf numFmtId="0" fontId="35" fillId="14" borderId="1" xfId="0" applyFont="1" applyFill="1" applyBorder="1" applyAlignment="1">
      <alignment horizontal="center" vertical="center" wrapText="1"/>
    </xf>
    <xf numFmtId="0" fontId="33" fillId="7" borderId="1" xfId="0" applyFont="1" applyFill="1" applyBorder="1" applyAlignment="1">
      <alignment horizontal="center" vertical="center" wrapText="1"/>
    </xf>
    <xf numFmtId="0" fontId="32" fillId="9" borderId="1" xfId="0" applyFont="1" applyFill="1" applyBorder="1" applyAlignment="1">
      <alignment horizontal="center" vertical="center" wrapText="1"/>
    </xf>
    <xf numFmtId="0" fontId="34" fillId="11"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31" fillId="8" borderId="1" xfId="0" applyFont="1" applyFill="1" applyBorder="1" applyAlignment="1">
      <alignment horizontal="left" vertical="center" wrapText="1"/>
    </xf>
    <xf numFmtId="0" fontId="32" fillId="9" borderId="1" xfId="0" applyFont="1" applyFill="1" applyBorder="1" applyAlignment="1">
      <alignment horizontal="left" vertical="center" wrapText="1"/>
    </xf>
    <xf numFmtId="0" fontId="30" fillId="5" borderId="0" xfId="0" applyFont="1" applyFill="1" applyAlignment="1">
      <alignment horizontal="left" vertical="center" wrapText="1" indent="1"/>
    </xf>
    <xf numFmtId="0" fontId="30" fillId="2" borderId="0" xfId="0" applyFont="1" applyFill="1" applyAlignment="1">
      <alignment horizontal="left" vertical="center" wrapText="1" indent="1"/>
    </xf>
    <xf numFmtId="0" fontId="31" fillId="3" borderId="1" xfId="0" applyFont="1" applyFill="1" applyBorder="1" applyAlignment="1">
      <alignment horizontal="left" vertical="center" wrapText="1"/>
    </xf>
    <xf numFmtId="0" fontId="35" fillId="14" borderId="1" xfId="0" applyFont="1" applyFill="1" applyBorder="1" applyAlignment="1">
      <alignment horizontal="left" vertical="center" wrapText="1"/>
    </xf>
    <xf numFmtId="0" fontId="34" fillId="11" borderId="1" xfId="0" applyFont="1" applyFill="1" applyBorder="1" applyAlignment="1">
      <alignment horizontal="left" vertical="center" wrapText="1"/>
    </xf>
    <xf numFmtId="0" fontId="10" fillId="2" borderId="0" xfId="0" applyFont="1" applyFill="1" applyAlignment="1">
      <alignment horizontal="center" vertical="center" wrapText="1"/>
    </xf>
    <xf numFmtId="0" fontId="33" fillId="7" borderId="1" xfId="0" applyFont="1" applyFill="1" applyBorder="1" applyAlignment="1">
      <alignment horizontal="left" vertical="center" wrapText="1"/>
    </xf>
    <xf numFmtId="0" fontId="3" fillId="5" borderId="0" xfId="0" applyFont="1" applyFill="1" applyAlignment="1">
      <alignment horizontal="left" vertical="center" wrapText="1" indent="1"/>
    </xf>
    <xf numFmtId="0" fontId="3" fillId="6" borderId="0" xfId="0" applyFont="1" applyFill="1" applyAlignment="1">
      <alignment horizontal="left" vertical="center" wrapText="1" indent="1"/>
    </xf>
    <xf numFmtId="0" fontId="8" fillId="7" borderId="0" xfId="0" applyFont="1" applyFill="1" applyAlignment="1">
      <alignment horizontal="lef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left" vertical="center" wrapText="1" indent="1"/>
    </xf>
    <xf numFmtId="0" fontId="24" fillId="12" borderId="0" xfId="0" applyFont="1" applyFill="1" applyAlignment="1">
      <alignment horizontal="left" vertical="center" wrapText="1"/>
    </xf>
    <xf numFmtId="0" fontId="27" fillId="2" borderId="0" xfId="0" applyFont="1" applyFill="1" applyAlignment="1">
      <alignment horizontal="left" vertical="center" wrapText="1"/>
    </xf>
    <xf numFmtId="0" fontId="29" fillId="7" borderId="0" xfId="0" applyFont="1" applyFill="1" applyAlignment="1">
      <alignment horizontal="left" vertical="center" wrapText="1"/>
    </xf>
    <xf numFmtId="0" fontId="6" fillId="3" borderId="0" xfId="0" applyFont="1" applyFill="1" applyAlignment="1">
      <alignment horizontal="center" vertical="center" wrapText="1"/>
    </xf>
    <xf numFmtId="0" fontId="19" fillId="9" borderId="0" xfId="0" applyFont="1" applyFill="1" applyAlignment="1">
      <alignment horizontal="left" vertical="center" wrapText="1"/>
    </xf>
    <xf numFmtId="0" fontId="26" fillId="11" borderId="0" xfId="0" applyFont="1" applyFill="1" applyAlignment="1">
      <alignment horizontal="left" vertical="center" wrapText="1"/>
    </xf>
    <xf numFmtId="0" fontId="21" fillId="7"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D28D9"/>
      <rgbColor rgb="FF008080"/>
      <rgbColor rgb="FFF3F4F6"/>
      <rgbColor rgb="FF6678A0"/>
      <rgbColor rgb="FF9999FF"/>
      <rgbColor rgb="FFB91C1C"/>
      <rgbColor rgb="FFFFF8E1"/>
      <rgbColor rgb="FFDCFCE7"/>
      <rgbColor rgb="FF660066"/>
      <rgbColor rgb="FFFF8080"/>
      <rgbColor rgb="FF1A5CA8"/>
      <rgbColor rgb="FFD0DCF0"/>
      <rgbColor rgb="FF000080"/>
      <rgbColor rgb="FFFF00FF"/>
      <rgbColor rgb="FFFFFF00"/>
      <rgbColor rgb="FF00FFFF"/>
      <rgbColor rgb="FF800080"/>
      <rgbColor rgb="FF800000"/>
      <rgbColor rgb="FF008080"/>
      <rgbColor rgb="FF0000FF"/>
      <rgbColor rgb="FF00AEEF"/>
      <rgbColor rgb="FFDBEAFE"/>
      <rgbColor rgb="FFEFF6FF"/>
      <rgbColor rgb="FFFEF3C7"/>
      <rgbColor rgb="FFF4F7FB"/>
      <rgbColor rgb="FFFF99CC"/>
      <rgbColor rgb="FFCC99FF"/>
      <rgbColor rgb="FFFEE2E2"/>
      <rgbColor rgb="FF3366FF"/>
      <rgbColor rgb="FF33CCCC"/>
      <rgbColor rgb="FF99CC00"/>
      <rgbColor rgb="FFFFCC00"/>
      <rgbColor rgb="FFC9860A"/>
      <rgbColor rgb="FFFF6600"/>
      <rgbColor rgb="FF6B7280"/>
      <rgbColor rgb="FF9CA3AF"/>
      <rgbColor rgb="FF0A1F5C"/>
      <rgbColor rgb="FF16A34A"/>
      <rgbColor rgb="FF0D5050"/>
      <rgbColor rgb="FF333300"/>
      <rgbColor rgb="FF7A4A00"/>
      <rgbColor rgb="FF993366"/>
      <rgbColor rgb="FF4B5563"/>
      <rgbColor rgb="FF1A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showGridLines="0" zoomScaleNormal="100" workbookViewId="0">
      <selection activeCell="B6" sqref="B6"/>
    </sheetView>
  </sheetViews>
  <sheetFormatPr defaultColWidth="8.7109375" defaultRowHeight="15" x14ac:dyDescent="0.25"/>
  <cols>
    <col min="1" max="1" width="42" customWidth="1"/>
    <col min="2" max="2" width="18" customWidth="1"/>
    <col min="3" max="3" width="28" customWidth="1"/>
    <col min="4" max="4" width="14" customWidth="1"/>
    <col min="5" max="5" width="28" customWidth="1"/>
  </cols>
  <sheetData>
    <row r="1" spans="1:9" ht="31.5" customHeight="1" x14ac:dyDescent="0.25">
      <c r="A1" s="98" t="s">
        <v>0</v>
      </c>
      <c r="B1" s="98"/>
      <c r="C1" s="98"/>
      <c r="D1" s="98"/>
      <c r="E1" s="98"/>
    </row>
    <row r="2" spans="1:9" ht="3.75" customHeight="1" x14ac:dyDescent="0.25">
      <c r="A2" s="98"/>
      <c r="B2" s="98"/>
      <c r="C2" s="98"/>
      <c r="D2" s="98"/>
      <c r="E2" s="98"/>
    </row>
    <row r="3" spans="1:9" ht="18" customHeight="1" x14ac:dyDescent="0.25">
      <c r="A3" s="99" t="s">
        <v>1</v>
      </c>
      <c r="B3" s="99"/>
      <c r="C3" s="99"/>
      <c r="D3" s="99"/>
      <c r="E3" s="99"/>
    </row>
    <row r="4" spans="1:9" ht="19.5" customHeight="1" x14ac:dyDescent="0.25">
      <c r="A4" s="100" t="s">
        <v>2</v>
      </c>
      <c r="B4" s="100"/>
      <c r="C4" s="100"/>
      <c r="D4" s="100"/>
      <c r="E4" s="100"/>
    </row>
    <row r="5" spans="1:9" ht="19.5" customHeight="1" x14ac:dyDescent="0.25">
      <c r="A5" s="1" t="s">
        <v>3</v>
      </c>
      <c r="B5" s="2">
        <v>150000</v>
      </c>
      <c r="C5" s="3" t="s">
        <v>4</v>
      </c>
      <c r="D5" s="4"/>
      <c r="E5" s="4"/>
    </row>
    <row r="6" spans="1:9" ht="19.5" customHeight="1" x14ac:dyDescent="0.25">
      <c r="A6" s="1" t="s">
        <v>5</v>
      </c>
      <c r="B6" s="5">
        <v>235</v>
      </c>
      <c r="C6" s="3" t="s">
        <v>6</v>
      </c>
      <c r="D6" s="4"/>
      <c r="E6" s="4"/>
    </row>
    <row r="7" spans="1:9" ht="19.5" customHeight="1" x14ac:dyDescent="0.25">
      <c r="A7" s="1" t="s">
        <v>7</v>
      </c>
      <c r="B7" s="6">
        <f>B5/B6</f>
        <v>638.29787234042556</v>
      </c>
      <c r="C7" s="3" t="s">
        <v>8</v>
      </c>
      <c r="D7" s="4"/>
      <c r="E7" s="4"/>
    </row>
    <row r="8" spans="1:9" ht="19.5" customHeight="1" x14ac:dyDescent="0.25">
      <c r="A8" s="1" t="s">
        <v>9</v>
      </c>
      <c r="B8" s="7">
        <v>1.5</v>
      </c>
      <c r="C8" s="3" t="s">
        <v>10</v>
      </c>
      <c r="D8" s="4"/>
      <c r="E8" s="4"/>
    </row>
    <row r="9" spans="1:9" ht="7.5" customHeight="1" x14ac:dyDescent="0.25"/>
    <row r="10" spans="1:9" ht="19.5" customHeight="1" x14ac:dyDescent="0.25">
      <c r="A10" s="95" t="s">
        <v>11</v>
      </c>
      <c r="B10" s="95"/>
      <c r="C10" s="95"/>
      <c r="D10" s="95"/>
      <c r="E10" s="95"/>
    </row>
    <row r="11" spans="1:9" ht="19.5" customHeight="1" x14ac:dyDescent="0.25">
      <c r="A11" s="1" t="s">
        <v>12</v>
      </c>
      <c r="B11" s="2">
        <v>620</v>
      </c>
      <c r="C11" s="3" t="s">
        <v>13</v>
      </c>
      <c r="D11" s="4"/>
      <c r="E11" s="4"/>
      <c r="I11" t="s">
        <v>276</v>
      </c>
    </row>
    <row r="12" spans="1:9" ht="19.5" customHeight="1" x14ac:dyDescent="0.25">
      <c r="A12" s="1" t="s">
        <v>14</v>
      </c>
      <c r="B12" s="2">
        <v>380</v>
      </c>
      <c r="C12" s="3" t="s">
        <v>15</v>
      </c>
      <c r="D12" s="4"/>
      <c r="E12" s="4"/>
    </row>
    <row r="13" spans="1:9" ht="19.5" customHeight="1" x14ac:dyDescent="0.25">
      <c r="A13" s="1" t="s">
        <v>16</v>
      </c>
      <c r="B13" s="2">
        <v>720</v>
      </c>
      <c r="C13" s="3" t="s">
        <v>17</v>
      </c>
      <c r="D13" s="4"/>
      <c r="E13" s="4"/>
    </row>
    <row r="14" spans="1:9" ht="19.5" customHeight="1" x14ac:dyDescent="0.25">
      <c r="A14" s="1" t="s">
        <v>18</v>
      </c>
      <c r="B14" s="2">
        <v>680</v>
      </c>
      <c r="C14" s="3" t="s">
        <v>19</v>
      </c>
      <c r="D14" s="4"/>
      <c r="E14" s="4"/>
    </row>
    <row r="15" spans="1:9" ht="19.5" customHeight="1" x14ac:dyDescent="0.25">
      <c r="A15" s="1" t="s">
        <v>20</v>
      </c>
      <c r="B15" s="2">
        <v>820</v>
      </c>
      <c r="C15" s="3" t="s">
        <v>17</v>
      </c>
      <c r="D15" s="4"/>
      <c r="E15" s="4"/>
    </row>
    <row r="16" spans="1:9" ht="19.5" customHeight="1" x14ac:dyDescent="0.25">
      <c r="A16" s="1" t="s">
        <v>21</v>
      </c>
      <c r="B16" s="2">
        <v>750</v>
      </c>
      <c r="C16" s="3" t="s">
        <v>17</v>
      </c>
      <c r="D16" s="4"/>
      <c r="E16" s="4"/>
    </row>
    <row r="17" spans="1:5" ht="19.5" customHeight="1" x14ac:dyDescent="0.25">
      <c r="A17" s="1" t="s">
        <v>22</v>
      </c>
      <c r="B17" s="2">
        <v>880</v>
      </c>
      <c r="C17" s="3" t="s">
        <v>23</v>
      </c>
      <c r="D17" s="4"/>
      <c r="E17" s="4"/>
    </row>
    <row r="18" spans="1:5" ht="19.5" customHeight="1" x14ac:dyDescent="0.25">
      <c r="A18" s="1" t="s">
        <v>24</v>
      </c>
      <c r="B18" s="2">
        <v>860</v>
      </c>
      <c r="C18" s="3" t="s">
        <v>23</v>
      </c>
      <c r="D18" s="4"/>
      <c r="E18" s="4"/>
    </row>
    <row r="19" spans="1:5" ht="19.5" customHeight="1" x14ac:dyDescent="0.25">
      <c r="A19" s="1" t="s">
        <v>25</v>
      </c>
      <c r="B19" s="2">
        <v>780</v>
      </c>
      <c r="C19" s="3" t="s">
        <v>17</v>
      </c>
      <c r="D19" s="4"/>
      <c r="E19" s="4"/>
    </row>
    <row r="20" spans="1:5" ht="19.5" customHeight="1" x14ac:dyDescent="0.25">
      <c r="A20" s="1" t="s">
        <v>26</v>
      </c>
      <c r="B20" s="2">
        <v>580</v>
      </c>
      <c r="C20" s="3" t="s">
        <v>27</v>
      </c>
      <c r="D20" s="4"/>
      <c r="E20" s="4"/>
    </row>
    <row r="21" spans="1:5" ht="19.5" customHeight="1" x14ac:dyDescent="0.25">
      <c r="A21" s="1" t="s">
        <v>28</v>
      </c>
      <c r="B21" s="2">
        <v>560</v>
      </c>
      <c r="C21" s="3" t="s">
        <v>27</v>
      </c>
      <c r="D21" s="4"/>
      <c r="E21" s="4"/>
    </row>
    <row r="22" spans="1:5" ht="19.5" customHeight="1" x14ac:dyDescent="0.25">
      <c r="A22" s="1" t="s">
        <v>29</v>
      </c>
      <c r="B22" s="2">
        <v>340</v>
      </c>
      <c r="C22" s="3" t="s">
        <v>15</v>
      </c>
      <c r="D22" s="4"/>
      <c r="E22" s="4"/>
    </row>
    <row r="23" spans="1:5" ht="19.5" customHeight="1" x14ac:dyDescent="0.25">
      <c r="A23" s="1" t="s">
        <v>30</v>
      </c>
      <c r="B23" s="2">
        <v>1850</v>
      </c>
      <c r="C23" s="3" t="s">
        <v>31</v>
      </c>
      <c r="D23" s="4"/>
      <c r="E23" s="4"/>
    </row>
    <row r="24" spans="1:5" ht="19.5" customHeight="1" x14ac:dyDescent="0.25">
      <c r="A24" s="1" t="s">
        <v>32</v>
      </c>
      <c r="B24" s="2">
        <v>1950</v>
      </c>
      <c r="C24" s="3" t="s">
        <v>33</v>
      </c>
      <c r="D24" s="4"/>
      <c r="E24" s="4"/>
    </row>
    <row r="25" spans="1:5" ht="19.5" customHeight="1" x14ac:dyDescent="0.25">
      <c r="A25" s="1" t="s">
        <v>34</v>
      </c>
      <c r="B25" s="2">
        <v>1900</v>
      </c>
      <c r="C25" s="3" t="s">
        <v>35</v>
      </c>
      <c r="D25" s="4"/>
      <c r="E25" s="4"/>
    </row>
    <row r="26" spans="1:5" ht="7.5" customHeight="1" x14ac:dyDescent="0.25"/>
    <row r="27" spans="1:5" ht="19.5" customHeight="1" x14ac:dyDescent="0.25">
      <c r="A27" s="95" t="s">
        <v>36</v>
      </c>
      <c r="B27" s="95"/>
      <c r="C27" s="95"/>
      <c r="D27" s="95"/>
      <c r="E27" s="95"/>
    </row>
    <row r="28" spans="1:5" ht="19.5" customHeight="1" x14ac:dyDescent="0.25">
      <c r="A28" s="1" t="s">
        <v>37</v>
      </c>
      <c r="B28" s="2">
        <v>260</v>
      </c>
      <c r="C28" s="3" t="s">
        <v>38</v>
      </c>
      <c r="D28" s="4"/>
      <c r="E28" s="4"/>
    </row>
    <row r="29" spans="1:5" ht="19.5" customHeight="1" x14ac:dyDescent="0.25">
      <c r="A29" s="1" t="s">
        <v>39</v>
      </c>
      <c r="B29" s="2">
        <v>185</v>
      </c>
      <c r="C29" s="3" t="s">
        <v>38</v>
      </c>
      <c r="D29" s="4"/>
      <c r="E29" s="4"/>
    </row>
    <row r="30" spans="1:5" ht="19.5" customHeight="1" x14ac:dyDescent="0.25">
      <c r="A30" s="1" t="s">
        <v>40</v>
      </c>
      <c r="B30" s="2">
        <v>295</v>
      </c>
      <c r="C30" s="3" t="s">
        <v>41</v>
      </c>
      <c r="D30" s="4"/>
      <c r="E30" s="4"/>
    </row>
    <row r="31" spans="1:5" ht="19.5" customHeight="1" x14ac:dyDescent="0.25">
      <c r="A31" s="1" t="s">
        <v>42</v>
      </c>
      <c r="B31" s="2">
        <v>310</v>
      </c>
      <c r="C31" s="3" t="s">
        <v>43</v>
      </c>
      <c r="D31" s="4"/>
      <c r="E31" s="4"/>
    </row>
    <row r="32" spans="1:5" ht="19.5" customHeight="1" x14ac:dyDescent="0.25">
      <c r="A32" s="1" t="s">
        <v>44</v>
      </c>
      <c r="B32" s="2">
        <v>310</v>
      </c>
      <c r="C32" s="3" t="s">
        <v>45</v>
      </c>
      <c r="D32" s="4"/>
      <c r="E32" s="4"/>
    </row>
    <row r="33" spans="1:5" ht="7.5" customHeight="1" x14ac:dyDescent="0.25"/>
    <row r="34" spans="1:5" ht="19.5" customHeight="1" x14ac:dyDescent="0.25">
      <c r="A34" s="95" t="s">
        <v>46</v>
      </c>
      <c r="B34" s="95"/>
      <c r="C34" s="95"/>
      <c r="D34" s="95"/>
      <c r="E34" s="95"/>
    </row>
    <row r="35" spans="1:5" ht="19.5" customHeight="1" x14ac:dyDescent="0.25">
      <c r="A35" s="1" t="s">
        <v>47</v>
      </c>
      <c r="B35" s="2">
        <v>120</v>
      </c>
      <c r="C35" s="3" t="s">
        <v>48</v>
      </c>
      <c r="D35" s="4"/>
      <c r="E35" s="4"/>
    </row>
    <row r="36" spans="1:5" ht="19.5" customHeight="1" x14ac:dyDescent="0.25">
      <c r="A36" s="1" t="s">
        <v>49</v>
      </c>
      <c r="B36" s="2">
        <v>165</v>
      </c>
      <c r="C36" s="3" t="s">
        <v>50</v>
      </c>
      <c r="D36" s="4"/>
      <c r="E36" s="4"/>
    </row>
    <row r="37" spans="1:5" ht="19.5" customHeight="1" x14ac:dyDescent="0.25">
      <c r="A37" s="1" t="s">
        <v>51</v>
      </c>
      <c r="B37" s="2">
        <v>195</v>
      </c>
      <c r="C37" s="3" t="s">
        <v>52</v>
      </c>
      <c r="D37" s="4"/>
      <c r="E37" s="4"/>
    </row>
    <row r="38" spans="1:5" ht="7.5" customHeight="1" x14ac:dyDescent="0.25"/>
    <row r="39" spans="1:5" ht="19.5" customHeight="1" x14ac:dyDescent="0.25">
      <c r="A39" s="96" t="s">
        <v>53</v>
      </c>
      <c r="B39" s="96"/>
      <c r="C39" s="96"/>
      <c r="D39" s="96"/>
      <c r="E39" s="96"/>
    </row>
    <row r="40" spans="1:5" ht="36" customHeight="1" x14ac:dyDescent="0.25">
      <c r="A40" s="97" t="s">
        <v>54</v>
      </c>
      <c r="B40" s="97"/>
      <c r="C40" s="97"/>
      <c r="D40" s="97"/>
      <c r="E40" s="97"/>
    </row>
    <row r="41" spans="1:5" ht="18" customHeight="1" x14ac:dyDescent="0.25">
      <c r="A41" s="8" t="s">
        <v>55</v>
      </c>
      <c r="B41" s="9" t="s">
        <v>56</v>
      </c>
      <c r="C41" s="9" t="s">
        <v>57</v>
      </c>
      <c r="D41" s="9" t="s">
        <v>58</v>
      </c>
      <c r="E41" s="9"/>
    </row>
    <row r="42" spans="1:5" ht="19.5" customHeight="1" x14ac:dyDescent="0.25">
      <c r="A42" s="1" t="s">
        <v>59</v>
      </c>
      <c r="B42" s="2">
        <v>4500</v>
      </c>
      <c r="C42" s="3" t="s">
        <v>60</v>
      </c>
      <c r="D42" s="10" t="s">
        <v>61</v>
      </c>
      <c r="E42" s="4"/>
    </row>
    <row r="43" spans="1:5" ht="19.5" customHeight="1" x14ac:dyDescent="0.25">
      <c r="A43" s="11" t="s">
        <v>62</v>
      </c>
      <c r="B43" s="2">
        <v>5500</v>
      </c>
      <c r="C43" s="12" t="s">
        <v>63</v>
      </c>
      <c r="D43" s="13" t="s">
        <v>61</v>
      </c>
      <c r="E43" s="4"/>
    </row>
    <row r="44" spans="1:5" ht="19.5" customHeight="1" x14ac:dyDescent="0.25">
      <c r="A44" s="1" t="s">
        <v>64</v>
      </c>
      <c r="B44" s="2">
        <v>8500</v>
      </c>
      <c r="C44" s="3" t="s">
        <v>65</v>
      </c>
      <c r="D44" s="10" t="s">
        <v>61</v>
      </c>
      <c r="E44" s="4"/>
    </row>
    <row r="45" spans="1:5" ht="19.5" customHeight="1" x14ac:dyDescent="0.25">
      <c r="A45" s="11" t="s">
        <v>66</v>
      </c>
      <c r="B45" s="2">
        <v>18000</v>
      </c>
      <c r="C45" s="12" t="s">
        <v>67</v>
      </c>
      <c r="D45" s="13" t="s">
        <v>68</v>
      </c>
      <c r="E45" s="4"/>
    </row>
    <row r="46" spans="1:5" ht="19.5" customHeight="1" x14ac:dyDescent="0.25">
      <c r="A46" s="1" t="s">
        <v>69</v>
      </c>
      <c r="B46" s="2">
        <v>12000</v>
      </c>
      <c r="C46" s="3" t="s">
        <v>70</v>
      </c>
      <c r="D46" s="10" t="s">
        <v>71</v>
      </c>
      <c r="E46" s="4"/>
    </row>
    <row r="47" spans="1:5" ht="19.5" customHeight="1" x14ac:dyDescent="0.25">
      <c r="A47" s="11" t="s">
        <v>72</v>
      </c>
      <c r="B47" s="2">
        <v>14000</v>
      </c>
      <c r="C47" s="12" t="s">
        <v>73</v>
      </c>
      <c r="D47" s="13" t="s">
        <v>74</v>
      </c>
      <c r="E47" s="4"/>
    </row>
    <row r="48" spans="1:5" ht="19.5" customHeight="1" x14ac:dyDescent="0.25">
      <c r="A48" s="1" t="s">
        <v>75</v>
      </c>
      <c r="B48" s="2">
        <v>800</v>
      </c>
      <c r="C48" s="3" t="s">
        <v>76</v>
      </c>
      <c r="D48" s="10" t="s">
        <v>77</v>
      </c>
      <c r="E48" s="4"/>
    </row>
    <row r="49" spans="1:5" ht="19.5" customHeight="1" x14ac:dyDescent="0.25">
      <c r="A49" s="11" t="s">
        <v>78</v>
      </c>
      <c r="B49" s="2">
        <v>2200</v>
      </c>
      <c r="C49" s="12" t="s">
        <v>79</v>
      </c>
      <c r="D49" s="13" t="s">
        <v>80</v>
      </c>
      <c r="E49" s="4"/>
    </row>
    <row r="50" spans="1:5" ht="19.5" customHeight="1" x14ac:dyDescent="0.25">
      <c r="A50" s="1" t="s">
        <v>81</v>
      </c>
      <c r="B50" s="2">
        <v>1200</v>
      </c>
      <c r="C50" s="3" t="s">
        <v>82</v>
      </c>
      <c r="D50" s="10" t="s">
        <v>83</v>
      </c>
      <c r="E50" s="4"/>
    </row>
    <row r="51" spans="1:5" ht="19.5" customHeight="1" x14ac:dyDescent="0.25">
      <c r="A51" s="11" t="s">
        <v>84</v>
      </c>
      <c r="B51" s="2">
        <v>650</v>
      </c>
      <c r="C51" s="12" t="s">
        <v>85</v>
      </c>
      <c r="D51" s="13" t="s">
        <v>86</v>
      </c>
      <c r="E51" s="4"/>
    </row>
    <row r="52" spans="1:5" ht="19.5" customHeight="1" x14ac:dyDescent="0.25">
      <c r="A52" s="1" t="s">
        <v>87</v>
      </c>
      <c r="B52" s="2">
        <v>900</v>
      </c>
      <c r="C52" s="3" t="s">
        <v>88</v>
      </c>
      <c r="D52" s="10" t="s">
        <v>89</v>
      </c>
      <c r="E52" s="4"/>
    </row>
    <row r="53" spans="1:5" ht="19.5" customHeight="1" x14ac:dyDescent="0.25">
      <c r="A53" s="11" t="s">
        <v>90</v>
      </c>
      <c r="B53" s="2">
        <v>850</v>
      </c>
      <c r="C53" s="12" t="s">
        <v>91</v>
      </c>
      <c r="D53" s="13" t="s">
        <v>92</v>
      </c>
      <c r="E53" s="4"/>
    </row>
    <row r="54" spans="1:5" ht="19.5" customHeight="1" x14ac:dyDescent="0.25">
      <c r="A54" s="1" t="s">
        <v>93</v>
      </c>
      <c r="B54" s="2">
        <v>2200</v>
      </c>
      <c r="C54" s="3" t="s">
        <v>94</v>
      </c>
      <c r="D54" s="10" t="s">
        <v>95</v>
      </c>
      <c r="E54" s="4"/>
    </row>
    <row r="55" spans="1:5" ht="19.5" customHeight="1" x14ac:dyDescent="0.25">
      <c r="A55" s="11" t="s">
        <v>96</v>
      </c>
      <c r="B55" s="2">
        <v>600</v>
      </c>
      <c r="C55" s="12" t="s">
        <v>97</v>
      </c>
      <c r="D55" s="13" t="s">
        <v>98</v>
      </c>
      <c r="E55" s="4"/>
    </row>
    <row r="56" spans="1:5" ht="19.5" customHeight="1" x14ac:dyDescent="0.25">
      <c r="A56" s="1" t="s">
        <v>99</v>
      </c>
      <c r="B56" s="2">
        <v>1800</v>
      </c>
      <c r="C56" s="3" t="s">
        <v>100</v>
      </c>
      <c r="D56" s="10" t="s">
        <v>101</v>
      </c>
      <c r="E56" s="4"/>
    </row>
    <row r="57" spans="1:5" ht="19.5" customHeight="1" x14ac:dyDescent="0.25">
      <c r="A57" s="11" t="s">
        <v>102</v>
      </c>
      <c r="B57" s="2">
        <v>3500</v>
      </c>
      <c r="C57" s="12" t="s">
        <v>103</v>
      </c>
      <c r="D57" s="13" t="s">
        <v>104</v>
      </c>
      <c r="E57" s="4"/>
    </row>
    <row r="58" spans="1:5" ht="7.5" customHeight="1" x14ac:dyDescent="0.25"/>
    <row r="59" spans="1:5" ht="19.5" customHeight="1" x14ac:dyDescent="0.25">
      <c r="A59" s="95" t="s">
        <v>105</v>
      </c>
      <c r="B59" s="95"/>
      <c r="C59" s="95"/>
      <c r="D59" s="95"/>
      <c r="E59" s="95"/>
    </row>
    <row r="60" spans="1:5" ht="19.5" customHeight="1" x14ac:dyDescent="0.25">
      <c r="A60" s="1" t="s">
        <v>106</v>
      </c>
      <c r="B60" s="14">
        <v>1.38</v>
      </c>
      <c r="C60" s="3" t="s">
        <v>107</v>
      </c>
      <c r="D60" s="4"/>
      <c r="E60" s="4"/>
    </row>
    <row r="61" spans="1:5" ht="19.5" customHeight="1" x14ac:dyDescent="0.25">
      <c r="A61" s="1" t="s">
        <v>108</v>
      </c>
      <c r="B61" s="14">
        <v>1.52</v>
      </c>
      <c r="C61" s="3" t="s">
        <v>107</v>
      </c>
      <c r="D61" s="4"/>
      <c r="E61" s="4"/>
    </row>
  </sheetData>
  <mergeCells count="9">
    <mergeCell ref="A34:E34"/>
    <mergeCell ref="A39:E39"/>
    <mergeCell ref="A40:E40"/>
    <mergeCell ref="A59:E59"/>
    <mergeCell ref="A1:E2"/>
    <mergeCell ref="A3:E3"/>
    <mergeCell ref="A4:E4"/>
    <mergeCell ref="A10:E10"/>
    <mergeCell ref="A27:E2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3"/>
  <sheetViews>
    <sheetView showGridLines="0" tabSelected="1" zoomScale="90" zoomScaleNormal="90" workbookViewId="0">
      <pane ySplit="5" topLeftCell="A6" activePane="bottomLeft" state="frozen"/>
      <selection pane="bottomLeft" activeCell="S29" sqref="S29"/>
    </sheetView>
  </sheetViews>
  <sheetFormatPr defaultColWidth="8.7109375" defaultRowHeight="15" x14ac:dyDescent="0.25"/>
  <cols>
    <col min="1" max="1" width="34" customWidth="1"/>
    <col min="2" max="2" width="9" customWidth="1"/>
    <col min="3" max="3" width="10" customWidth="1"/>
    <col min="4" max="4" width="8" customWidth="1"/>
    <col min="5" max="5" width="9" customWidth="1"/>
    <col min="6" max="8" width="13" customWidth="1"/>
    <col min="9" max="9" width="14" customWidth="1"/>
    <col min="10" max="13" width="13" customWidth="1"/>
    <col min="14" max="15" width="14" customWidth="1"/>
    <col min="16" max="16" width="16" customWidth="1"/>
    <col min="17" max="17" width="18" customWidth="1"/>
    <col min="18" max="18" width="10" customWidth="1"/>
  </cols>
  <sheetData>
    <row r="1" spans="1:18" ht="30" customHeight="1" x14ac:dyDescent="0.25">
      <c r="A1" s="93" t="s">
        <v>109</v>
      </c>
      <c r="B1" s="93"/>
      <c r="C1" s="93"/>
      <c r="D1" s="93"/>
      <c r="E1" s="93"/>
      <c r="F1" s="93"/>
      <c r="G1" s="93"/>
      <c r="H1" s="93"/>
      <c r="I1" s="93"/>
      <c r="J1" s="93"/>
      <c r="K1" s="93"/>
      <c r="L1" s="93"/>
      <c r="M1" s="93"/>
      <c r="N1" s="93"/>
      <c r="O1" s="93"/>
      <c r="P1" s="93"/>
      <c r="Q1" s="93"/>
      <c r="R1" s="93"/>
    </row>
    <row r="2" spans="1:18" ht="3.75" customHeight="1" x14ac:dyDescent="0.25">
      <c r="A2" s="93"/>
      <c r="B2" s="93"/>
      <c r="C2" s="93"/>
      <c r="D2" s="93"/>
      <c r="E2" s="93"/>
      <c r="F2" s="93"/>
      <c r="G2" s="93"/>
      <c r="H2" s="93"/>
      <c r="I2" s="93"/>
      <c r="J2" s="93"/>
      <c r="K2" s="93"/>
      <c r="L2" s="93"/>
      <c r="M2" s="93"/>
      <c r="N2" s="93"/>
      <c r="O2" s="93"/>
      <c r="P2" s="93"/>
      <c r="Q2" s="93"/>
      <c r="R2" s="93"/>
    </row>
    <row r="3" spans="1:18" ht="15.75" customHeight="1" x14ac:dyDescent="0.25">
      <c r="A3" s="104" t="s">
        <v>110</v>
      </c>
      <c r="B3" s="104"/>
      <c r="C3" s="104"/>
      <c r="D3" s="104"/>
      <c r="E3" s="104"/>
      <c r="F3" s="104"/>
      <c r="G3" s="104"/>
      <c r="H3" s="104"/>
      <c r="I3" s="104"/>
      <c r="J3" s="104"/>
      <c r="K3" s="104"/>
      <c r="L3" s="104"/>
      <c r="M3" s="104"/>
      <c r="N3" s="104"/>
      <c r="O3" s="104"/>
      <c r="P3" s="104"/>
      <c r="Q3" s="104"/>
      <c r="R3" s="104"/>
    </row>
    <row r="4" spans="1:18" ht="36" customHeight="1" x14ac:dyDescent="0.25">
      <c r="A4" s="15" t="s">
        <v>111</v>
      </c>
      <c r="B4" s="15" t="s">
        <v>112</v>
      </c>
      <c r="C4" s="15" t="s">
        <v>113</v>
      </c>
      <c r="D4" s="15" t="s">
        <v>114</v>
      </c>
      <c r="E4" s="15" t="s">
        <v>115</v>
      </c>
      <c r="F4" s="15" t="s">
        <v>116</v>
      </c>
      <c r="G4" s="15" t="s">
        <v>117</v>
      </c>
      <c r="H4" s="15" t="s">
        <v>118</v>
      </c>
      <c r="I4" s="15" t="s">
        <v>119</v>
      </c>
      <c r="J4" s="15" t="s">
        <v>120</v>
      </c>
      <c r="K4" s="15" t="s">
        <v>121</v>
      </c>
      <c r="L4" s="15" t="s">
        <v>122</v>
      </c>
      <c r="M4" s="15" t="s">
        <v>123</v>
      </c>
      <c r="N4" s="15" t="s">
        <v>124</v>
      </c>
      <c r="O4" s="15" t="s">
        <v>125</v>
      </c>
      <c r="P4" s="15" t="s">
        <v>126</v>
      </c>
      <c r="Q4" s="15" t="s">
        <v>127</v>
      </c>
      <c r="R4" s="15" t="s">
        <v>128</v>
      </c>
    </row>
    <row r="5" spans="1:18" ht="24" customHeight="1" x14ac:dyDescent="0.25">
      <c r="A5" s="16"/>
      <c r="B5" s="16"/>
      <c r="C5" s="16"/>
      <c r="D5" s="16"/>
      <c r="E5" s="16"/>
      <c r="F5" s="17" t="s">
        <v>129</v>
      </c>
      <c r="G5" s="17" t="s">
        <v>130</v>
      </c>
      <c r="H5" s="17" t="s">
        <v>131</v>
      </c>
      <c r="I5" s="17" t="s">
        <v>132</v>
      </c>
      <c r="J5" s="17" t="s">
        <v>133</v>
      </c>
      <c r="K5" s="17" t="s">
        <v>134</v>
      </c>
      <c r="L5" s="17" t="s">
        <v>135</v>
      </c>
      <c r="M5" s="17" t="s">
        <v>136</v>
      </c>
      <c r="N5" s="16"/>
      <c r="O5" s="16"/>
      <c r="P5" s="16"/>
      <c r="Q5" s="16"/>
      <c r="R5" s="16"/>
    </row>
    <row r="6" spans="1:18" ht="24" x14ac:dyDescent="0.25">
      <c r="A6" s="18" t="s">
        <v>137</v>
      </c>
      <c r="B6" s="19" t="s">
        <v>138</v>
      </c>
      <c r="C6" s="20" t="s">
        <v>139</v>
      </c>
      <c r="D6" s="21">
        <v>6</v>
      </c>
      <c r="E6" s="21">
        <v>3</v>
      </c>
      <c r="F6" s="22">
        <f>D6*Assumptions!$B$11</f>
        <v>3720</v>
      </c>
      <c r="G6" s="22">
        <f>D6*4*Assumptions!$B$28</f>
        <v>6240</v>
      </c>
      <c r="H6" s="22">
        <f>D6*(E6+Assumptions!$B$8)*Assumptions!$B$35</f>
        <v>3240</v>
      </c>
      <c r="I6" s="23">
        <f>D6*(E6+Assumptions!$B$8)*Assumptions!$B$7</f>
        <v>17234.042553191492</v>
      </c>
      <c r="J6" s="22">
        <f>Assumptions!$B$42</f>
        <v>4500</v>
      </c>
      <c r="K6" s="22">
        <f>Assumptions!$B$48+Assumptions!$B$51+Assumptions!$B$52</f>
        <v>2350</v>
      </c>
      <c r="L6" s="22">
        <f>Assumptions!$B$53*2+Assumptions!$B$55</f>
        <v>2300</v>
      </c>
      <c r="M6" s="22">
        <f>Assumptions!$B$56</f>
        <v>1800</v>
      </c>
      <c r="N6" s="24">
        <f t="shared" ref="N6:N24" si="0">SUM(F6:M6)</f>
        <v>41384.042553191495</v>
      </c>
      <c r="O6" s="25">
        <f t="shared" ref="O6:O24" si="1">IF(D6&gt;0,N6/D6,0)</f>
        <v>6897.3404255319156</v>
      </c>
      <c r="P6" s="26" t="s">
        <v>140</v>
      </c>
      <c r="Q6" s="27" t="s">
        <v>141</v>
      </c>
      <c r="R6" s="28">
        <v>9.1999999999999993</v>
      </c>
    </row>
    <row r="7" spans="1:18" ht="27.75" customHeight="1" x14ac:dyDescent="0.25">
      <c r="A7" s="29" t="s">
        <v>142</v>
      </c>
      <c r="B7" s="19" t="s">
        <v>138</v>
      </c>
      <c r="C7" s="30" t="s">
        <v>139</v>
      </c>
      <c r="D7" s="21">
        <v>4</v>
      </c>
      <c r="E7" s="21">
        <v>3</v>
      </c>
      <c r="F7" s="31">
        <f>D7*Assumptions!$B$11</f>
        <v>2480</v>
      </c>
      <c r="G7" s="31">
        <f>D7*4*Assumptions!$B$28</f>
        <v>4160</v>
      </c>
      <c r="H7" s="31">
        <f>D7*(E7+Assumptions!$B$8)*Assumptions!$B$35</f>
        <v>2160</v>
      </c>
      <c r="I7" s="23">
        <f>D7*(E7+Assumptions!$B$8)*Assumptions!$B$7</f>
        <v>11489.36170212766</v>
      </c>
      <c r="J7" s="32">
        <v>0</v>
      </c>
      <c r="K7" s="32">
        <v>0</v>
      </c>
      <c r="L7" s="31">
        <f>Assumptions!$B$55</f>
        <v>600</v>
      </c>
      <c r="M7" s="31">
        <f>Assumptions!$B$56</f>
        <v>1800</v>
      </c>
      <c r="N7" s="24">
        <f t="shared" si="0"/>
        <v>22689.361702127659</v>
      </c>
      <c r="O7" s="33">
        <f t="shared" si="1"/>
        <v>5672.3404255319147</v>
      </c>
      <c r="P7" s="34" t="s">
        <v>143</v>
      </c>
      <c r="Q7" s="35" t="s">
        <v>144</v>
      </c>
      <c r="R7" s="28">
        <v>8.8000000000000007</v>
      </c>
    </row>
    <row r="8" spans="1:18" ht="27.75" customHeight="1" x14ac:dyDescent="0.25">
      <c r="A8" s="18" t="s">
        <v>145</v>
      </c>
      <c r="B8" s="19" t="s">
        <v>138</v>
      </c>
      <c r="C8" s="20" t="s">
        <v>139</v>
      </c>
      <c r="D8" s="21">
        <v>2</v>
      </c>
      <c r="E8" s="21">
        <v>5</v>
      </c>
      <c r="F8" s="22">
        <f>D8*Assumptions!$B$11</f>
        <v>1240</v>
      </c>
      <c r="G8" s="22">
        <f>D8*6*Assumptions!$B$28</f>
        <v>3120</v>
      </c>
      <c r="H8" s="22">
        <f>D8*(E8+Assumptions!$B$8)*Assumptions!$B$35</f>
        <v>1560</v>
      </c>
      <c r="I8" s="23">
        <f>D8*(E8+Assumptions!$B$8)*Assumptions!$B$7</f>
        <v>8297.8723404255325</v>
      </c>
      <c r="J8" s="22">
        <f>Assumptions!$B$42</f>
        <v>4500</v>
      </c>
      <c r="K8" s="22">
        <f>Assumptions!$B$48+Assumptions!$B$51+Assumptions!$B$52</f>
        <v>2350</v>
      </c>
      <c r="L8" s="22">
        <f>Assumptions!$B$53*2+Assumptions!$B$55</f>
        <v>2300</v>
      </c>
      <c r="M8" s="22">
        <f>Assumptions!$B$56</f>
        <v>1800</v>
      </c>
      <c r="N8" s="24">
        <f t="shared" si="0"/>
        <v>25167.872340425532</v>
      </c>
      <c r="O8" s="25">
        <f t="shared" si="1"/>
        <v>12583.936170212766</v>
      </c>
      <c r="P8" s="26" t="s">
        <v>146</v>
      </c>
      <c r="Q8" s="27" t="s">
        <v>147</v>
      </c>
      <c r="R8" s="28">
        <v>8.5</v>
      </c>
    </row>
    <row r="9" spans="1:18" ht="27.75" customHeight="1" x14ac:dyDescent="0.25">
      <c r="A9" s="29" t="s">
        <v>148</v>
      </c>
      <c r="B9" s="19" t="s">
        <v>138</v>
      </c>
      <c r="C9" s="30" t="s">
        <v>149</v>
      </c>
      <c r="D9" s="21">
        <v>3</v>
      </c>
      <c r="E9" s="21">
        <v>4</v>
      </c>
      <c r="F9" s="31">
        <f>D9*Assumptions!$B$15</f>
        <v>2460</v>
      </c>
      <c r="G9" s="31">
        <f>D9*5*Assumptions!$B$30</f>
        <v>4425</v>
      </c>
      <c r="H9" s="31">
        <f>D9*(E9+Assumptions!$B$8)*Assumptions!$B$36</f>
        <v>2722.5</v>
      </c>
      <c r="I9" s="23">
        <f>D9*(E9+Assumptions!$B$8)*Assumptions!$B$7</f>
        <v>10531.914893617022</v>
      </c>
      <c r="J9" s="31">
        <f>Assumptions!$B$43</f>
        <v>5500</v>
      </c>
      <c r="K9" s="31">
        <f>Assumptions!$B$49+Assumptions!$B$51+Assumptions!$B$52</f>
        <v>3750</v>
      </c>
      <c r="L9" s="31">
        <f>Assumptions!$B$53*2+Assumptions!$B$55</f>
        <v>2300</v>
      </c>
      <c r="M9" s="31">
        <f>Assumptions!$B$56</f>
        <v>1800</v>
      </c>
      <c r="N9" s="24">
        <f t="shared" si="0"/>
        <v>33489.414893617024</v>
      </c>
      <c r="O9" s="33">
        <f t="shared" si="1"/>
        <v>11163.138297872341</v>
      </c>
      <c r="P9" s="34" t="s">
        <v>150</v>
      </c>
      <c r="Q9" s="35" t="s">
        <v>151</v>
      </c>
      <c r="R9" s="28">
        <v>8.1999999999999993</v>
      </c>
    </row>
    <row r="10" spans="1:18" ht="36" x14ac:dyDescent="0.25">
      <c r="A10" s="18" t="s">
        <v>152</v>
      </c>
      <c r="B10" s="19" t="s">
        <v>138</v>
      </c>
      <c r="C10" s="20" t="s">
        <v>149</v>
      </c>
      <c r="D10" s="21">
        <v>5</v>
      </c>
      <c r="E10" s="21">
        <v>3</v>
      </c>
      <c r="F10" s="22">
        <f>D10*Assumptions!$B$16</f>
        <v>3750</v>
      </c>
      <c r="G10" s="22">
        <f>D10*4*Assumptions!$B$30</f>
        <v>5900</v>
      </c>
      <c r="H10" s="22">
        <f>D10*(E10+Assumptions!$B$8)*Assumptions!$B$36</f>
        <v>3712.5</v>
      </c>
      <c r="I10" s="23">
        <f>D10*(E10+Assumptions!$B$8)*Assumptions!$B$7</f>
        <v>14361.702127659575</v>
      </c>
      <c r="J10" s="22">
        <f>Assumptions!$B$43</f>
        <v>5500</v>
      </c>
      <c r="K10" s="22">
        <f>Assumptions!$B$49+Assumptions!$B$51+Assumptions!$B$52</f>
        <v>3750</v>
      </c>
      <c r="L10" s="22">
        <f>Assumptions!$B$53*2+Assumptions!$B$55</f>
        <v>2300</v>
      </c>
      <c r="M10" s="22">
        <f>Assumptions!$B$56</f>
        <v>1800</v>
      </c>
      <c r="N10" s="24">
        <f t="shared" si="0"/>
        <v>41074.202127659577</v>
      </c>
      <c r="O10" s="25">
        <f t="shared" si="1"/>
        <v>8214.8404255319147</v>
      </c>
      <c r="P10" s="26" t="s">
        <v>153</v>
      </c>
      <c r="Q10" s="27" t="s">
        <v>154</v>
      </c>
      <c r="R10" s="36">
        <v>7.8</v>
      </c>
    </row>
    <row r="11" spans="1:18" ht="27.75" customHeight="1" x14ac:dyDescent="0.25">
      <c r="A11" s="29" t="s">
        <v>155</v>
      </c>
      <c r="B11" s="19" t="s">
        <v>138</v>
      </c>
      <c r="C11" s="30" t="s">
        <v>149</v>
      </c>
      <c r="D11" s="21">
        <v>2</v>
      </c>
      <c r="E11" s="21">
        <v>5</v>
      </c>
      <c r="F11" s="31">
        <f>D11*Assumptions!$B$15</f>
        <v>1640</v>
      </c>
      <c r="G11" s="31">
        <f>D11*6*Assumptions!$B$30</f>
        <v>3540</v>
      </c>
      <c r="H11" s="31">
        <f>D11*(E11+Assumptions!$B$8)*Assumptions!$B$36</f>
        <v>2145</v>
      </c>
      <c r="I11" s="23">
        <f>D11*(E11+Assumptions!$B$8)*Assumptions!$B$7</f>
        <v>8297.8723404255325</v>
      </c>
      <c r="J11" s="31">
        <f>Assumptions!$B$43</f>
        <v>5500</v>
      </c>
      <c r="K11" s="31">
        <f>Assumptions!$B$49+Assumptions!$B$51+Assumptions!$B$52</f>
        <v>3750</v>
      </c>
      <c r="L11" s="31">
        <f>Assumptions!$B$53*2+Assumptions!$B$55</f>
        <v>2300</v>
      </c>
      <c r="M11" s="31">
        <f>Assumptions!$B$56</f>
        <v>1800</v>
      </c>
      <c r="N11" s="24">
        <f t="shared" si="0"/>
        <v>28972.872340425532</v>
      </c>
      <c r="O11" s="33">
        <f t="shared" si="1"/>
        <v>14486.436170212766</v>
      </c>
      <c r="P11" s="34" t="s">
        <v>156</v>
      </c>
      <c r="Q11" s="35" t="s">
        <v>157</v>
      </c>
      <c r="R11" s="36">
        <v>7.5</v>
      </c>
    </row>
    <row r="12" spans="1:18" ht="27.75" customHeight="1" x14ac:dyDescent="0.25">
      <c r="A12" s="18" t="s">
        <v>158</v>
      </c>
      <c r="B12" s="19" t="s">
        <v>138</v>
      </c>
      <c r="C12" s="20" t="s">
        <v>149</v>
      </c>
      <c r="D12" s="21">
        <v>3</v>
      </c>
      <c r="E12" s="21">
        <v>4</v>
      </c>
      <c r="F12" s="22">
        <f>D12*Assumptions!$B$17</f>
        <v>2640</v>
      </c>
      <c r="G12" s="22">
        <f>D12*5*Assumptions!$B$31</f>
        <v>4650</v>
      </c>
      <c r="H12" s="22">
        <f>D12*(E12+Assumptions!$B$8)*Assumptions!$B$36</f>
        <v>2722.5</v>
      </c>
      <c r="I12" s="23">
        <f>D12*(E12+Assumptions!$B$8)*Assumptions!$B$7</f>
        <v>10531.914893617022</v>
      </c>
      <c r="J12" s="22">
        <f>Assumptions!$B$44</f>
        <v>8500</v>
      </c>
      <c r="K12" s="22">
        <f>Assumptions!$B$49+Assumptions!$B$51+Assumptions!$B$52</f>
        <v>3750</v>
      </c>
      <c r="L12" s="22">
        <f>Assumptions!$B$53*2+Assumptions!$B$55</f>
        <v>2300</v>
      </c>
      <c r="M12" s="22">
        <f>Assumptions!$B$56</f>
        <v>1800</v>
      </c>
      <c r="N12" s="24">
        <f t="shared" si="0"/>
        <v>36894.414893617024</v>
      </c>
      <c r="O12" s="25">
        <f t="shared" si="1"/>
        <v>12298.138297872341</v>
      </c>
      <c r="P12" s="26" t="s">
        <v>159</v>
      </c>
      <c r="Q12" s="27" t="s">
        <v>160</v>
      </c>
      <c r="R12" s="28">
        <v>8</v>
      </c>
    </row>
    <row r="13" spans="1:18" ht="36" x14ac:dyDescent="0.25">
      <c r="A13" s="29" t="s">
        <v>161</v>
      </c>
      <c r="B13" s="19" t="s">
        <v>138</v>
      </c>
      <c r="C13" s="30" t="s">
        <v>162</v>
      </c>
      <c r="D13" s="21">
        <v>5</v>
      </c>
      <c r="E13" s="21">
        <v>5</v>
      </c>
      <c r="F13" s="31">
        <f>D13*Assumptions!$B$25</f>
        <v>9500</v>
      </c>
      <c r="G13" s="31">
        <f>D13*6*Assumptions!$B$32</f>
        <v>9300</v>
      </c>
      <c r="H13" s="31">
        <f>D13*(E13+Assumptions!$B$8)*Assumptions!$B$37</f>
        <v>6337.5</v>
      </c>
      <c r="I13" s="23">
        <f>D13*(E13+Assumptions!$B$8)*Assumptions!$B$7</f>
        <v>20744.680851063829</v>
      </c>
      <c r="J13" s="31">
        <f>Assumptions!$B$46</f>
        <v>12000</v>
      </c>
      <c r="K13" s="31">
        <f>Assumptions!$B$50+Assumptions!$B$51+Assumptions!$B$52</f>
        <v>2750</v>
      </c>
      <c r="L13" s="31">
        <f>Assumptions!$B$54*2+Assumptions!$B$55</f>
        <v>5000</v>
      </c>
      <c r="M13" s="31">
        <f>Assumptions!$B$57</f>
        <v>3500</v>
      </c>
      <c r="N13" s="24">
        <f t="shared" si="0"/>
        <v>69132.180851063837</v>
      </c>
      <c r="O13" s="33">
        <f t="shared" si="1"/>
        <v>13826.436170212768</v>
      </c>
      <c r="P13" s="34" t="s">
        <v>163</v>
      </c>
      <c r="Q13" s="35" t="s">
        <v>164</v>
      </c>
      <c r="R13" s="28">
        <v>8.5</v>
      </c>
    </row>
    <row r="14" spans="1:18" ht="27.75" customHeight="1" x14ac:dyDescent="0.25">
      <c r="A14" s="18" t="s">
        <v>165</v>
      </c>
      <c r="B14" s="19" t="s">
        <v>138</v>
      </c>
      <c r="C14" s="20" t="s">
        <v>149</v>
      </c>
      <c r="D14" s="21">
        <v>4</v>
      </c>
      <c r="E14" s="21">
        <v>4</v>
      </c>
      <c r="F14" s="22">
        <f>D14*Assumptions!$B$19</f>
        <v>3120</v>
      </c>
      <c r="G14" s="22">
        <f>D14*5*Assumptions!$B$31</f>
        <v>6200</v>
      </c>
      <c r="H14" s="22">
        <f>D14*(E14+Assumptions!$B$8)*Assumptions!$B$36</f>
        <v>3630</v>
      </c>
      <c r="I14" s="23">
        <f>D14*(E14+Assumptions!$B$8)*Assumptions!$B$7</f>
        <v>14042.553191489362</v>
      </c>
      <c r="J14" s="22">
        <f>Assumptions!$B$45</f>
        <v>18000</v>
      </c>
      <c r="K14" s="22">
        <f>Assumptions!$B$49+Assumptions!$B$51+Assumptions!$B$52</f>
        <v>3750</v>
      </c>
      <c r="L14" s="22">
        <f>Assumptions!$B$53*2+Assumptions!$B$55</f>
        <v>2300</v>
      </c>
      <c r="M14" s="22">
        <f>Assumptions!$B$57</f>
        <v>3500</v>
      </c>
      <c r="N14" s="24">
        <f t="shared" si="0"/>
        <v>54542.553191489365</v>
      </c>
      <c r="O14" s="25">
        <f t="shared" si="1"/>
        <v>13635.638297872341</v>
      </c>
      <c r="P14" s="26" t="s">
        <v>166</v>
      </c>
      <c r="Q14" s="27" t="s">
        <v>154</v>
      </c>
      <c r="R14" s="28">
        <v>8.5</v>
      </c>
    </row>
    <row r="15" spans="1:18" ht="27.75" customHeight="1" x14ac:dyDescent="0.25">
      <c r="A15" s="29" t="s">
        <v>167</v>
      </c>
      <c r="B15" s="19" t="s">
        <v>138</v>
      </c>
      <c r="C15" s="30" t="s">
        <v>139</v>
      </c>
      <c r="D15" s="21">
        <v>2</v>
      </c>
      <c r="E15" s="21">
        <v>3</v>
      </c>
      <c r="F15" s="31">
        <f>D15*Assumptions!$B$11</f>
        <v>1240</v>
      </c>
      <c r="G15" s="31">
        <f>D15*4*Assumptions!$B$28</f>
        <v>2080</v>
      </c>
      <c r="H15" s="31">
        <f>D15*(E15+Assumptions!$B$8)*Assumptions!$B$35</f>
        <v>1080</v>
      </c>
      <c r="I15" s="23">
        <f>D15*(E15+Assumptions!$B$8)*Assumptions!$B$7</f>
        <v>5744.6808510638302</v>
      </c>
      <c r="J15" s="31">
        <f>Assumptions!$B$42</f>
        <v>4500</v>
      </c>
      <c r="K15" s="31">
        <f>Assumptions!$B$48+Assumptions!$B$51+Assumptions!$B$52</f>
        <v>2350</v>
      </c>
      <c r="L15" s="31">
        <f>Assumptions!$B$53*2+Assumptions!$B$55</f>
        <v>2300</v>
      </c>
      <c r="M15" s="31">
        <f>Assumptions!$B$56</f>
        <v>1800</v>
      </c>
      <c r="N15" s="24">
        <f t="shared" si="0"/>
        <v>21094.680851063829</v>
      </c>
      <c r="O15" s="33">
        <f t="shared" si="1"/>
        <v>10547.340425531915</v>
      </c>
      <c r="P15" s="34" t="s">
        <v>156</v>
      </c>
      <c r="Q15" s="35" t="s">
        <v>168</v>
      </c>
      <c r="R15" s="36">
        <v>7.8</v>
      </c>
    </row>
    <row r="16" spans="1:18" ht="27.75" customHeight="1" x14ac:dyDescent="0.25">
      <c r="A16" s="18" t="s">
        <v>169</v>
      </c>
      <c r="B16" s="37" t="s">
        <v>170</v>
      </c>
      <c r="C16" s="20" t="s">
        <v>149</v>
      </c>
      <c r="D16" s="21">
        <v>2</v>
      </c>
      <c r="E16" s="21">
        <v>4</v>
      </c>
      <c r="F16" s="22">
        <f>D16*Assumptions!$B$18</f>
        <v>1720</v>
      </c>
      <c r="G16" s="22">
        <f>D16*5*Assumptions!$B$31</f>
        <v>3100</v>
      </c>
      <c r="H16" s="22">
        <f>D16*(E16+Assumptions!$B$8)*Assumptions!$B$36</f>
        <v>1815</v>
      </c>
      <c r="I16" s="23">
        <f>D16*(E16+Assumptions!$B$8)*Assumptions!$B$7</f>
        <v>7021.2765957446809</v>
      </c>
      <c r="J16" s="22">
        <f>Assumptions!$B$44</f>
        <v>8500</v>
      </c>
      <c r="K16" s="22">
        <f>Assumptions!$B$49+Assumptions!$B$51+Assumptions!$B$52</f>
        <v>3750</v>
      </c>
      <c r="L16" s="22">
        <f>Assumptions!$B$53*2+Assumptions!$B$55</f>
        <v>2300</v>
      </c>
      <c r="M16" s="22">
        <f>Assumptions!$B$56</f>
        <v>1800</v>
      </c>
      <c r="N16" s="24">
        <f t="shared" si="0"/>
        <v>30006.276595744683</v>
      </c>
      <c r="O16" s="25">
        <f t="shared" si="1"/>
        <v>15003.138297872341</v>
      </c>
      <c r="P16" s="26" t="s">
        <v>171</v>
      </c>
      <c r="Q16" s="27" t="s">
        <v>160</v>
      </c>
      <c r="R16" s="36">
        <v>6.8</v>
      </c>
    </row>
    <row r="17" spans="1:18" ht="27.75" customHeight="1" x14ac:dyDescent="0.25">
      <c r="A17" s="29" t="s">
        <v>172</v>
      </c>
      <c r="B17" s="37" t="s">
        <v>170</v>
      </c>
      <c r="C17" s="30" t="s">
        <v>149</v>
      </c>
      <c r="D17" s="21">
        <v>2</v>
      </c>
      <c r="E17" s="21">
        <v>3</v>
      </c>
      <c r="F17" s="31">
        <f>D17*Assumptions!$B$17</f>
        <v>1760</v>
      </c>
      <c r="G17" s="31">
        <f>D17*4*Assumptions!$B$31</f>
        <v>2480</v>
      </c>
      <c r="H17" s="31">
        <f>D17*(E17+Assumptions!$B$8)*Assumptions!$B$36</f>
        <v>1485</v>
      </c>
      <c r="I17" s="23">
        <f>D17*(E17+Assumptions!$B$8)*Assumptions!$B$7</f>
        <v>5744.6808510638302</v>
      </c>
      <c r="J17" s="31">
        <f>Assumptions!$B$44</f>
        <v>8500</v>
      </c>
      <c r="K17" s="31">
        <f>Assumptions!$B$49+Assumptions!$B$51+Assumptions!$B$52</f>
        <v>3750</v>
      </c>
      <c r="L17" s="31">
        <f>Assumptions!$B$55</f>
        <v>600</v>
      </c>
      <c r="M17" s="31">
        <f>Assumptions!$B$56</f>
        <v>1800</v>
      </c>
      <c r="N17" s="24">
        <f t="shared" si="0"/>
        <v>26119.680851063829</v>
      </c>
      <c r="O17" s="33">
        <f t="shared" si="1"/>
        <v>13059.840425531915</v>
      </c>
      <c r="P17" s="34" t="s">
        <v>173</v>
      </c>
      <c r="Q17" s="35" t="s">
        <v>174</v>
      </c>
      <c r="R17" s="36">
        <v>6.8</v>
      </c>
    </row>
    <row r="18" spans="1:18" ht="24" x14ac:dyDescent="0.25">
      <c r="A18" s="18" t="s">
        <v>175</v>
      </c>
      <c r="B18" s="38" t="s">
        <v>176</v>
      </c>
      <c r="C18" s="20" t="s">
        <v>139</v>
      </c>
      <c r="D18" s="21">
        <v>2</v>
      </c>
      <c r="E18" s="21">
        <v>3</v>
      </c>
      <c r="F18" s="22">
        <f>D18*Assumptions!$B$13</f>
        <v>1440</v>
      </c>
      <c r="G18" s="22">
        <f>D18*3*Assumptions!$B$28</f>
        <v>1560</v>
      </c>
      <c r="H18" s="22">
        <f>D18*(E18+Assumptions!$B$8)*Assumptions!$B$35</f>
        <v>1080</v>
      </c>
      <c r="I18" s="23">
        <f>D18*(E18+Assumptions!$B$8)*Assumptions!$B$7</f>
        <v>5744.6808510638302</v>
      </c>
      <c r="J18" s="39">
        <v>0</v>
      </c>
      <c r="K18" s="39">
        <v>0</v>
      </c>
      <c r="L18" s="22">
        <f>Assumptions!$B$55</f>
        <v>600</v>
      </c>
      <c r="M18" s="39">
        <v>0</v>
      </c>
      <c r="N18" s="24">
        <f t="shared" si="0"/>
        <v>10424.680851063829</v>
      </c>
      <c r="O18" s="25">
        <f t="shared" si="1"/>
        <v>5212.3404255319147</v>
      </c>
      <c r="P18" s="26" t="s">
        <v>177</v>
      </c>
      <c r="Q18" s="27" t="s">
        <v>178</v>
      </c>
      <c r="R18" s="40">
        <v>5.5</v>
      </c>
    </row>
    <row r="19" spans="1:18" ht="27.75" customHeight="1" x14ac:dyDescent="0.25">
      <c r="A19" s="29" t="s">
        <v>179</v>
      </c>
      <c r="B19" s="38" t="s">
        <v>176</v>
      </c>
      <c r="C19" s="30" t="s">
        <v>139</v>
      </c>
      <c r="D19" s="21">
        <v>2</v>
      </c>
      <c r="E19" s="21">
        <v>3</v>
      </c>
      <c r="F19" s="31">
        <f>D19*Assumptions!$B$20</f>
        <v>1160</v>
      </c>
      <c r="G19" s="31">
        <f>D19*3*Assumptions!$B$29</f>
        <v>1110</v>
      </c>
      <c r="H19" s="31">
        <f>D19*(E19+Assumptions!$B$8)*Assumptions!$B$35</f>
        <v>1080</v>
      </c>
      <c r="I19" s="23">
        <f>D19*(E19+Assumptions!$B$8)*Assumptions!$B$7</f>
        <v>5744.6808510638302</v>
      </c>
      <c r="J19" s="31">
        <f>Assumptions!$B$42</f>
        <v>4500</v>
      </c>
      <c r="K19" s="31">
        <f>Assumptions!$B$48+Assumptions!$B$51+Assumptions!$B$52</f>
        <v>2350</v>
      </c>
      <c r="L19" s="31">
        <f>Assumptions!$B$53*2+Assumptions!$B$55</f>
        <v>2300</v>
      </c>
      <c r="M19" s="31">
        <f>Assumptions!$B$56</f>
        <v>1800</v>
      </c>
      <c r="N19" s="24">
        <f t="shared" si="0"/>
        <v>20044.680851063829</v>
      </c>
      <c r="O19" s="33">
        <f t="shared" si="1"/>
        <v>10022.340425531915</v>
      </c>
      <c r="P19" s="34" t="s">
        <v>180</v>
      </c>
      <c r="Q19" s="35" t="s">
        <v>181</v>
      </c>
      <c r="R19" s="40">
        <v>5.8</v>
      </c>
    </row>
    <row r="20" spans="1:18" ht="27.75" customHeight="1" x14ac:dyDescent="0.25">
      <c r="A20" s="18" t="s">
        <v>182</v>
      </c>
      <c r="B20" s="38" t="s">
        <v>176</v>
      </c>
      <c r="C20" s="20" t="s">
        <v>149</v>
      </c>
      <c r="D20" s="21">
        <v>2</v>
      </c>
      <c r="E20" s="21">
        <v>4</v>
      </c>
      <c r="F20" s="22">
        <f>D20*Assumptions!$B$14</f>
        <v>1360</v>
      </c>
      <c r="G20" s="22">
        <f>D20*5*Assumptions!$B$30</f>
        <v>2950</v>
      </c>
      <c r="H20" s="22">
        <f>D20*(E20+Assumptions!$B$8)*Assumptions!$B$36</f>
        <v>1815</v>
      </c>
      <c r="I20" s="23">
        <f>D20*(E20+Assumptions!$B$8)*Assumptions!$B$7</f>
        <v>7021.2765957446809</v>
      </c>
      <c r="J20" s="39">
        <v>0</v>
      </c>
      <c r="K20" s="39">
        <v>0</v>
      </c>
      <c r="L20" s="22">
        <f>Assumptions!$B$55</f>
        <v>600</v>
      </c>
      <c r="M20" s="22">
        <f>Assumptions!$B$56</f>
        <v>1800</v>
      </c>
      <c r="N20" s="24">
        <f t="shared" si="0"/>
        <v>15546.276595744681</v>
      </c>
      <c r="O20" s="25">
        <f t="shared" si="1"/>
        <v>7773.1382978723404</v>
      </c>
      <c r="P20" s="26" t="s">
        <v>183</v>
      </c>
      <c r="Q20" s="27" t="s">
        <v>184</v>
      </c>
      <c r="R20" s="40">
        <v>5.5</v>
      </c>
    </row>
    <row r="21" spans="1:18" ht="48" x14ac:dyDescent="0.25">
      <c r="A21" s="29" t="s">
        <v>185</v>
      </c>
      <c r="B21" s="38" t="s">
        <v>176</v>
      </c>
      <c r="C21" s="30" t="s">
        <v>162</v>
      </c>
      <c r="D21" s="21">
        <v>6</v>
      </c>
      <c r="E21" s="21">
        <v>3</v>
      </c>
      <c r="F21" s="31">
        <f>D21*Assumptions!$B$24</f>
        <v>11700</v>
      </c>
      <c r="G21" s="31">
        <f>D21*4*Assumptions!$B$32</f>
        <v>7440</v>
      </c>
      <c r="H21" s="31">
        <f>D21*(E21+Assumptions!$B$8)*Assumptions!$B$37</f>
        <v>5265</v>
      </c>
      <c r="I21" s="23">
        <f>D21*(E21+Assumptions!$B$8)*Assumptions!$B$7</f>
        <v>17234.042553191492</v>
      </c>
      <c r="J21" s="31">
        <f>Assumptions!$B$47</f>
        <v>14000</v>
      </c>
      <c r="K21" s="31">
        <f>Assumptions!$B$50+Assumptions!$B$51+Assumptions!$B$52</f>
        <v>2750</v>
      </c>
      <c r="L21" s="31">
        <f>Assumptions!$B$54*2+Assumptions!$B$55</f>
        <v>5000</v>
      </c>
      <c r="M21" s="31">
        <f>Assumptions!$B$56</f>
        <v>1800</v>
      </c>
      <c r="N21" s="24">
        <f t="shared" si="0"/>
        <v>65189.042553191495</v>
      </c>
      <c r="O21" s="33">
        <f t="shared" si="1"/>
        <v>10864.840425531916</v>
      </c>
      <c r="P21" s="34" t="s">
        <v>186</v>
      </c>
      <c r="Q21" s="35" t="s">
        <v>187</v>
      </c>
      <c r="R21" s="36">
        <v>6.2</v>
      </c>
    </row>
    <row r="22" spans="1:18" ht="27.75" customHeight="1" x14ac:dyDescent="0.25">
      <c r="A22" s="18" t="s">
        <v>188</v>
      </c>
      <c r="B22" s="38" t="s">
        <v>176</v>
      </c>
      <c r="C22" s="20" t="s">
        <v>162</v>
      </c>
      <c r="D22" s="21">
        <v>2</v>
      </c>
      <c r="E22" s="21">
        <v>6</v>
      </c>
      <c r="F22" s="22">
        <f>D22*Assumptions!$B$23</f>
        <v>3700</v>
      </c>
      <c r="G22" s="22">
        <f>D22*7*Assumptions!$B$32</f>
        <v>4340</v>
      </c>
      <c r="H22" s="22">
        <f>D22*(E22+Assumptions!$B$8)*Assumptions!$B$37</f>
        <v>2925</v>
      </c>
      <c r="I22" s="23">
        <f>D22*(E22+Assumptions!$B$8)*Assumptions!$B$7</f>
        <v>9574.468085106384</v>
      </c>
      <c r="J22" s="39">
        <v>0</v>
      </c>
      <c r="K22" s="39">
        <v>0</v>
      </c>
      <c r="L22" s="22">
        <f>Assumptions!$B$55</f>
        <v>600</v>
      </c>
      <c r="M22" s="22">
        <f>Assumptions!$B$57</f>
        <v>3500</v>
      </c>
      <c r="N22" s="24">
        <f t="shared" si="0"/>
        <v>24639.468085106382</v>
      </c>
      <c r="O22" s="25">
        <f t="shared" si="1"/>
        <v>12319.734042553191</v>
      </c>
      <c r="P22" s="26" t="s">
        <v>189</v>
      </c>
      <c r="Q22" s="27" t="s">
        <v>190</v>
      </c>
      <c r="R22" s="40">
        <v>5.2</v>
      </c>
    </row>
    <row r="23" spans="1:18" ht="27.75" customHeight="1" x14ac:dyDescent="0.25">
      <c r="A23" s="29" t="s">
        <v>191</v>
      </c>
      <c r="B23" s="38" t="s">
        <v>176</v>
      </c>
      <c r="C23" s="30" t="s">
        <v>139</v>
      </c>
      <c r="D23" s="21">
        <v>2</v>
      </c>
      <c r="E23" s="21">
        <v>2</v>
      </c>
      <c r="F23" s="31">
        <f>D23*Assumptions!$B$21</f>
        <v>1120</v>
      </c>
      <c r="G23" s="31">
        <f>D23*2*Assumptions!$B$29</f>
        <v>740</v>
      </c>
      <c r="H23" s="31">
        <f>D23*(E23+Assumptions!$B$8)*Assumptions!$B$35</f>
        <v>840</v>
      </c>
      <c r="I23" s="23">
        <f>D23*(E23+Assumptions!$B$8)*Assumptions!$B$7</f>
        <v>4468.0851063829787</v>
      </c>
      <c r="J23" s="31">
        <f>Assumptions!$B$42</f>
        <v>4500</v>
      </c>
      <c r="K23" s="31">
        <f>Assumptions!$B$48+Assumptions!$B$51+Assumptions!$B$52</f>
        <v>2350</v>
      </c>
      <c r="L23" s="31">
        <f>Assumptions!$B$53*2+Assumptions!$B$55</f>
        <v>2300</v>
      </c>
      <c r="M23" s="31">
        <f>Assumptions!$B$56</f>
        <v>1800</v>
      </c>
      <c r="N23" s="24">
        <f t="shared" si="0"/>
        <v>18118.08510638298</v>
      </c>
      <c r="O23" s="33">
        <f t="shared" si="1"/>
        <v>9059.0425531914898</v>
      </c>
      <c r="P23" s="34" t="s">
        <v>192</v>
      </c>
      <c r="Q23" s="35" t="s">
        <v>193</v>
      </c>
      <c r="R23" s="40">
        <v>5</v>
      </c>
    </row>
    <row r="24" spans="1:18" ht="27.75" customHeight="1" x14ac:dyDescent="0.25">
      <c r="A24" s="18" t="s">
        <v>194</v>
      </c>
      <c r="B24" s="41" t="s">
        <v>195</v>
      </c>
      <c r="C24" s="20" t="s">
        <v>139</v>
      </c>
      <c r="D24" s="21">
        <v>3</v>
      </c>
      <c r="E24" s="21">
        <v>2</v>
      </c>
      <c r="F24" s="22">
        <f>D24*Assumptions!$B$22</f>
        <v>1020</v>
      </c>
      <c r="G24" s="22">
        <f>D24*2*Assumptions!$B$29</f>
        <v>1110</v>
      </c>
      <c r="H24" s="22">
        <f>D24*(E24+Assumptions!$B$8)*Assumptions!$B$35</f>
        <v>1260</v>
      </c>
      <c r="I24" s="23">
        <f>D24*(E24+Assumptions!$B$8)*Assumptions!$B$7</f>
        <v>6702.1276595744685</v>
      </c>
      <c r="J24" s="39">
        <v>0</v>
      </c>
      <c r="K24" s="39">
        <v>0</v>
      </c>
      <c r="L24" s="22">
        <f>Assumptions!$B$55</f>
        <v>600</v>
      </c>
      <c r="M24" s="39">
        <v>0</v>
      </c>
      <c r="N24" s="24">
        <f t="shared" si="0"/>
        <v>10692.127659574468</v>
      </c>
      <c r="O24" s="25">
        <f t="shared" si="1"/>
        <v>3564.0425531914893</v>
      </c>
      <c r="P24" s="26" t="s">
        <v>196</v>
      </c>
      <c r="Q24" s="27" t="s">
        <v>197</v>
      </c>
      <c r="R24" s="40">
        <v>4.2</v>
      </c>
    </row>
    <row r="25" spans="1:18" ht="7.5" customHeight="1" x14ac:dyDescent="0.25"/>
    <row r="26" spans="1:18" ht="21.75" customHeight="1" x14ac:dyDescent="0.25">
      <c r="A26" s="105" t="s">
        <v>198</v>
      </c>
      <c r="B26" s="105"/>
      <c r="C26" s="105"/>
      <c r="D26" s="105"/>
      <c r="E26" s="105"/>
      <c r="F26" s="42">
        <f>SUMPRODUCT((B6:B24="HIGH")*F6:F24)</f>
        <v>31790</v>
      </c>
      <c r="G26" s="42">
        <f>SUMPRODUCT((B6:B24="HIGH")*G6:G24)</f>
        <v>49615</v>
      </c>
      <c r="H26" s="42">
        <f>SUMPRODUCT((B6:B24="HIGH")*H6:H24)</f>
        <v>29310</v>
      </c>
      <c r="I26" s="42">
        <f>SUMPRODUCT((B6:B24="HIGH")*I6:I24)</f>
        <v>121276.59574468088</v>
      </c>
      <c r="J26" s="42">
        <f>SUMPRODUCT((B6:B24="HIGH")*J6:J24)</f>
        <v>68500</v>
      </c>
      <c r="K26" s="42">
        <f>SUMPRODUCT((B6:B24="HIGH")*K6:K24)</f>
        <v>28550</v>
      </c>
      <c r="L26" s="42">
        <f>SUMPRODUCT((B6:B24="HIGH")*L6:L24)</f>
        <v>24000</v>
      </c>
      <c r="M26" s="42">
        <f>SUMPRODUCT((B6:B24="HIGH")*M6:M24)</f>
        <v>21400</v>
      </c>
      <c r="N26" s="42">
        <f>SUMPRODUCT((B6:B24="HIGH")*N6:N24)</f>
        <v>374441.59574468079</v>
      </c>
      <c r="O26" s="43"/>
      <c r="P26" s="43"/>
      <c r="Q26" s="43"/>
      <c r="R26" s="43"/>
    </row>
    <row r="27" spans="1:18" ht="21.75" customHeight="1" x14ac:dyDescent="0.25">
      <c r="A27" s="106" t="s">
        <v>199</v>
      </c>
      <c r="B27" s="106"/>
      <c r="C27" s="106"/>
      <c r="D27" s="106"/>
      <c r="E27" s="106"/>
      <c r="F27" s="44">
        <f>SUMPRODUCT((B6:B24="MED-H")*F6:F24)</f>
        <v>3480</v>
      </c>
      <c r="G27" s="44">
        <f>SUMPRODUCT((B6:B24="MED-H")*G6:G24)</f>
        <v>5580</v>
      </c>
      <c r="H27" s="44">
        <f>SUMPRODUCT((B6:B24="MED-H")*H6:H24)</f>
        <v>3300</v>
      </c>
      <c r="I27" s="44">
        <f>SUMPRODUCT((B6:B24="MED-H")*I6:I24)</f>
        <v>12765.957446808512</v>
      </c>
      <c r="J27" s="44">
        <f>SUMPRODUCT((B6:B24="MED-H")*J6:J24)</f>
        <v>17000</v>
      </c>
      <c r="K27" s="44">
        <f>SUMPRODUCT((B6:B24="MED-H")*K6:K24)</f>
        <v>7500</v>
      </c>
      <c r="L27" s="44">
        <f>SUMPRODUCT((B6:B24="MED-H")*L6:L24)</f>
        <v>2900</v>
      </c>
      <c r="M27" s="44">
        <f>SUMPRODUCT((B6:B24="MED-H")*M6:M24)</f>
        <v>3600</v>
      </c>
      <c r="N27" s="44">
        <f>SUMPRODUCT((B6:B24="MED-H")*N6:N24)</f>
        <v>56125.957446808512</v>
      </c>
      <c r="O27" s="45"/>
      <c r="P27" s="45"/>
      <c r="Q27" s="45"/>
      <c r="R27" s="45"/>
    </row>
    <row r="28" spans="1:18" ht="21.75" customHeight="1" x14ac:dyDescent="0.25">
      <c r="A28" s="107" t="s">
        <v>200</v>
      </c>
      <c r="B28" s="107"/>
      <c r="C28" s="107"/>
      <c r="D28" s="107"/>
      <c r="E28" s="107"/>
      <c r="F28" s="46">
        <f>SUMPRODUCT((B6:B24="MED")*F6:F24)</f>
        <v>20480</v>
      </c>
      <c r="G28" s="46">
        <f>SUMPRODUCT((B6:B24="MED")*G6:G24)</f>
        <v>18140</v>
      </c>
      <c r="H28" s="46">
        <f>SUMPRODUCT((B6:B24="MED")*H6:H24)</f>
        <v>13005</v>
      </c>
      <c r="I28" s="46">
        <f>SUMPRODUCT((B6:B24="MED")*I6:I24)</f>
        <v>49787.234042553195</v>
      </c>
      <c r="J28" s="46">
        <f>SUMPRODUCT((B6:B24="MED")*J6:J24)</f>
        <v>23000</v>
      </c>
      <c r="K28" s="46">
        <f>SUMPRODUCT((B6:B24="MED")*K6:K24)</f>
        <v>7450</v>
      </c>
      <c r="L28" s="46">
        <f>SUMPRODUCT((B6:B24="MED")*L6:L24)</f>
        <v>11400</v>
      </c>
      <c r="M28" s="46">
        <f>SUMPRODUCT((B6:B24="MED")*M6:M24)</f>
        <v>10700</v>
      </c>
      <c r="N28" s="46">
        <f>SUMPRODUCT((B6:B24="MED")*N6:N24)</f>
        <v>153962.2340425532</v>
      </c>
      <c r="O28" s="47"/>
      <c r="P28" s="47"/>
      <c r="Q28" s="47"/>
      <c r="R28" s="47"/>
    </row>
    <row r="29" spans="1:18" ht="21.75" customHeight="1" x14ac:dyDescent="0.25">
      <c r="A29" s="101" t="s">
        <v>201</v>
      </c>
      <c r="B29" s="101"/>
      <c r="C29" s="101"/>
      <c r="D29" s="101"/>
      <c r="E29" s="101"/>
      <c r="F29" s="48">
        <f>SUMPRODUCT((B6:B24="LOW")*F6:F24)</f>
        <v>1020</v>
      </c>
      <c r="G29" s="48">
        <f>SUMPRODUCT((B6:B24="LOW")*G6:G24)</f>
        <v>1110</v>
      </c>
      <c r="H29" s="48">
        <f>SUMPRODUCT((B6:B24="LOW")*H6:H24)</f>
        <v>1260</v>
      </c>
      <c r="I29" s="48">
        <f>SUMPRODUCT((B6:B24="LOW")*I6:I24)</f>
        <v>6702.1276595744685</v>
      </c>
      <c r="J29" s="48">
        <f>SUMPRODUCT((B6:B24="LOW")*J6:J24)</f>
        <v>0</v>
      </c>
      <c r="K29" s="48">
        <f>SUMPRODUCT((B6:B24="LOW")*K6:K24)</f>
        <v>0</v>
      </c>
      <c r="L29" s="48">
        <f>SUMPRODUCT((B6:B24="LOW")*L6:L24)</f>
        <v>600</v>
      </c>
      <c r="M29" s="48">
        <f>SUMPRODUCT((B6:B24="LOW")*M6:M24)</f>
        <v>0</v>
      </c>
      <c r="N29" s="48">
        <f>SUMPRODUCT((B6:B24="LOW")*N6:N24)</f>
        <v>10692.127659574468</v>
      </c>
      <c r="O29" s="49"/>
      <c r="P29" s="49"/>
      <c r="Q29" s="49"/>
      <c r="R29" s="49"/>
    </row>
    <row r="30" spans="1:18" ht="31.5" customHeight="1" x14ac:dyDescent="0.25">
      <c r="A30" s="102" t="s">
        <v>202</v>
      </c>
      <c r="B30" s="102"/>
      <c r="C30" s="102"/>
      <c r="D30" s="102"/>
      <c r="E30" s="102"/>
      <c r="F30" s="50">
        <f t="shared" ref="F30:N30" si="2">SUM(F6:F24)</f>
        <v>56770</v>
      </c>
      <c r="G30" s="50">
        <f t="shared" si="2"/>
        <v>74445</v>
      </c>
      <c r="H30" s="50">
        <f t="shared" si="2"/>
        <v>46875</v>
      </c>
      <c r="I30" s="50">
        <f t="shared" si="2"/>
        <v>190531.91489361707</v>
      </c>
      <c r="J30" s="50">
        <f t="shared" si="2"/>
        <v>108500</v>
      </c>
      <c r="K30" s="50">
        <f t="shared" si="2"/>
        <v>43500</v>
      </c>
      <c r="L30" s="50">
        <f t="shared" si="2"/>
        <v>38900</v>
      </c>
      <c r="M30" s="50">
        <f t="shared" si="2"/>
        <v>35700</v>
      </c>
      <c r="N30" s="50">
        <f t="shared" si="2"/>
        <v>595221.91489361692</v>
      </c>
    </row>
    <row r="31" spans="1:18" ht="18" customHeight="1" x14ac:dyDescent="0.25">
      <c r="F31" s="17" t="s">
        <v>203</v>
      </c>
      <c r="G31" s="17" t="s">
        <v>204</v>
      </c>
      <c r="H31" s="17" t="s">
        <v>205</v>
      </c>
      <c r="I31" s="17" t="s">
        <v>206</v>
      </c>
      <c r="J31" s="17" t="s">
        <v>207</v>
      </c>
      <c r="K31" s="17" t="s">
        <v>208</v>
      </c>
      <c r="L31" s="17" t="s">
        <v>209</v>
      </c>
      <c r="M31" s="17" t="s">
        <v>210</v>
      </c>
      <c r="N31" s="17" t="s">
        <v>211</v>
      </c>
    </row>
    <row r="33" spans="1:18" ht="39.75" customHeight="1" x14ac:dyDescent="0.25">
      <c r="A33" s="103" t="s">
        <v>212</v>
      </c>
      <c r="B33" s="103"/>
      <c r="C33" s="103"/>
      <c r="D33" s="103"/>
      <c r="E33" s="103"/>
      <c r="F33" s="103"/>
      <c r="G33" s="103"/>
      <c r="H33" s="103"/>
      <c r="I33" s="103"/>
      <c r="J33" s="103"/>
      <c r="K33" s="103"/>
      <c r="L33" s="103"/>
      <c r="M33" s="103"/>
      <c r="N33" s="103"/>
      <c r="O33" s="103"/>
      <c r="P33" s="103"/>
      <c r="Q33" s="103"/>
      <c r="R33" s="103"/>
    </row>
  </sheetData>
  <mergeCells count="8">
    <mergeCell ref="A29:E29"/>
    <mergeCell ref="A30:E30"/>
    <mergeCell ref="A33:R33"/>
    <mergeCell ref="A1:R2"/>
    <mergeCell ref="A3:R3"/>
    <mergeCell ref="A26:E26"/>
    <mergeCell ref="A27:E27"/>
    <mergeCell ref="A28:E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showGridLines="0" zoomScale="90" zoomScaleNormal="90" workbookViewId="0">
      <selection sqref="A1:H2"/>
    </sheetView>
  </sheetViews>
  <sheetFormatPr defaultColWidth="8.7109375" defaultRowHeight="15" x14ac:dyDescent="0.25"/>
  <cols>
    <col min="1" max="1" width="32" customWidth="1"/>
    <col min="2" max="8" width="16" customWidth="1"/>
  </cols>
  <sheetData>
    <row r="1" spans="1:8" ht="30" customHeight="1" x14ac:dyDescent="0.25">
      <c r="A1" s="93" t="s">
        <v>213</v>
      </c>
      <c r="B1" s="93"/>
      <c r="C1" s="93"/>
      <c r="D1" s="93"/>
      <c r="E1" s="93"/>
      <c r="F1" s="93"/>
      <c r="G1" s="93"/>
      <c r="H1" s="93"/>
    </row>
    <row r="2" spans="1:8" ht="3.75" customHeight="1" x14ac:dyDescent="0.25">
      <c r="A2" s="93"/>
      <c r="B2" s="93"/>
      <c r="C2" s="93"/>
      <c r="D2" s="93"/>
      <c r="E2" s="93"/>
      <c r="F2" s="93"/>
      <c r="G2" s="93"/>
      <c r="H2" s="93"/>
    </row>
    <row r="3" spans="1:8" ht="21.75" customHeight="1" x14ac:dyDescent="0.25">
      <c r="A3" s="88" t="s">
        <v>214</v>
      </c>
      <c r="B3" s="88"/>
      <c r="C3" s="88"/>
      <c r="D3" s="88"/>
      <c r="E3" s="88"/>
      <c r="F3" s="88"/>
      <c r="G3" s="88"/>
      <c r="H3" s="88"/>
    </row>
    <row r="4" spans="1:8" ht="19.5" customHeight="1" x14ac:dyDescent="0.25">
      <c r="A4" s="15" t="s">
        <v>215</v>
      </c>
      <c r="B4" s="15" t="s">
        <v>216</v>
      </c>
      <c r="C4" s="15" t="s">
        <v>217</v>
      </c>
      <c r="D4" s="15" t="s">
        <v>218</v>
      </c>
      <c r="E4" s="15" t="s">
        <v>219</v>
      </c>
    </row>
    <row r="5" spans="1:8" ht="27.75" customHeight="1" x14ac:dyDescent="0.25">
      <c r="A5" s="51" t="s">
        <v>220</v>
      </c>
      <c r="B5" s="52" t="s">
        <v>221</v>
      </c>
      <c r="C5" s="90" t="s">
        <v>222</v>
      </c>
      <c r="D5" s="90"/>
      <c r="E5" s="90"/>
      <c r="F5" s="53" t="s">
        <v>223</v>
      </c>
      <c r="G5" s="94" t="s">
        <v>224</v>
      </c>
      <c r="H5" s="94"/>
    </row>
    <row r="6" spans="1:8" ht="27.75" customHeight="1" x14ac:dyDescent="0.25">
      <c r="A6" s="54" t="s">
        <v>168</v>
      </c>
      <c r="B6" s="55" t="s">
        <v>225</v>
      </c>
      <c r="C6" s="86" t="s">
        <v>226</v>
      </c>
      <c r="D6" s="86"/>
      <c r="E6" s="86"/>
      <c r="F6" s="56" t="s">
        <v>227</v>
      </c>
      <c r="G6" s="87" t="s">
        <v>228</v>
      </c>
      <c r="H6" s="87"/>
    </row>
    <row r="7" spans="1:8" ht="27.75" customHeight="1" x14ac:dyDescent="0.25">
      <c r="A7" s="57" t="s">
        <v>229</v>
      </c>
      <c r="B7" s="58" t="s">
        <v>230</v>
      </c>
      <c r="C7" s="90" t="s">
        <v>231</v>
      </c>
      <c r="D7" s="90"/>
      <c r="E7" s="90"/>
      <c r="F7" s="59" t="s">
        <v>232</v>
      </c>
      <c r="G7" s="91" t="s">
        <v>233</v>
      </c>
      <c r="H7" s="91"/>
    </row>
    <row r="8" spans="1:8" ht="27.75" customHeight="1" x14ac:dyDescent="0.25">
      <c r="A8" s="60" t="s">
        <v>234</v>
      </c>
      <c r="B8" s="61" t="s">
        <v>235</v>
      </c>
      <c r="C8" s="86" t="s">
        <v>236</v>
      </c>
      <c r="D8" s="86"/>
      <c r="E8" s="86"/>
      <c r="F8" s="62" t="s">
        <v>237</v>
      </c>
      <c r="G8" s="91" t="s">
        <v>238</v>
      </c>
      <c r="H8" s="91"/>
    </row>
    <row r="9" spans="1:8" ht="27.75" customHeight="1" x14ac:dyDescent="0.25">
      <c r="A9" s="63" t="s">
        <v>239</v>
      </c>
      <c r="B9" s="64" t="s">
        <v>240</v>
      </c>
      <c r="C9" s="90" t="s">
        <v>241</v>
      </c>
      <c r="D9" s="90"/>
      <c r="E9" s="90"/>
      <c r="F9" s="65" t="s">
        <v>223</v>
      </c>
      <c r="G9" s="92" t="s">
        <v>242</v>
      </c>
      <c r="H9" s="92"/>
    </row>
    <row r="10" spans="1:8" ht="27.75" customHeight="1" x14ac:dyDescent="0.25">
      <c r="A10" s="66" t="s">
        <v>243</v>
      </c>
      <c r="B10" s="67" t="s">
        <v>244</v>
      </c>
      <c r="C10" s="86" t="s">
        <v>245</v>
      </c>
      <c r="D10" s="86"/>
      <c r="E10" s="86"/>
      <c r="F10" s="68" t="s">
        <v>246</v>
      </c>
      <c r="G10" s="87" t="s">
        <v>247</v>
      </c>
      <c r="H10" s="87"/>
    </row>
    <row r="12" spans="1:8" ht="7.5" customHeight="1" x14ac:dyDescent="0.25"/>
    <row r="13" spans="1:8" ht="21.75" customHeight="1" x14ac:dyDescent="0.25">
      <c r="A13" s="88" t="s">
        <v>248</v>
      </c>
      <c r="B13" s="88"/>
      <c r="C13" s="88"/>
      <c r="D13" s="88"/>
      <c r="E13" s="88"/>
      <c r="F13" s="88"/>
      <c r="G13" s="88"/>
      <c r="H13" s="88"/>
    </row>
    <row r="14" spans="1:8" ht="19.5" customHeight="1" x14ac:dyDescent="0.25">
      <c r="A14" s="15" t="s">
        <v>249</v>
      </c>
      <c r="B14" s="15" t="s">
        <v>250</v>
      </c>
      <c r="C14" s="15" t="s">
        <v>251</v>
      </c>
      <c r="D14" s="15" t="s">
        <v>252</v>
      </c>
      <c r="E14" s="15" t="s">
        <v>195</v>
      </c>
      <c r="F14" s="15" t="s">
        <v>253</v>
      </c>
    </row>
    <row r="15" spans="1:8" ht="19.5" customHeight="1" x14ac:dyDescent="0.25">
      <c r="A15" s="1" t="s">
        <v>254</v>
      </c>
      <c r="B15" s="69">
        <f>'Budget Model'!F26</f>
        <v>31790</v>
      </c>
      <c r="C15" s="70">
        <f>'Budget Model'!F27</f>
        <v>3480</v>
      </c>
      <c r="D15" s="71">
        <f>'Budget Model'!F28</f>
        <v>20480</v>
      </c>
      <c r="E15" s="72">
        <f>'Budget Model'!F29</f>
        <v>1020</v>
      </c>
      <c r="F15" s="73">
        <f>'Budget Model'!F30</f>
        <v>56770</v>
      </c>
      <c r="G15" s="4"/>
      <c r="H15" s="4"/>
    </row>
    <row r="16" spans="1:8" ht="19.5" customHeight="1" x14ac:dyDescent="0.25">
      <c r="A16" s="11" t="s">
        <v>255</v>
      </c>
      <c r="B16" s="74">
        <f>'Budget Model'!G26</f>
        <v>49615</v>
      </c>
      <c r="C16" s="75">
        <f>'Budget Model'!G27</f>
        <v>5580</v>
      </c>
      <c r="D16" s="76">
        <f>'Budget Model'!G28</f>
        <v>18140</v>
      </c>
      <c r="E16" s="77">
        <f>'Budget Model'!G29</f>
        <v>1110</v>
      </c>
      <c r="F16" s="73">
        <f>'Budget Model'!G30</f>
        <v>74445</v>
      </c>
      <c r="G16" s="4"/>
      <c r="H16" s="4"/>
    </row>
    <row r="17" spans="1:8" ht="19.5" customHeight="1" x14ac:dyDescent="0.25">
      <c r="A17" s="1" t="s">
        <v>256</v>
      </c>
      <c r="B17" s="69">
        <f>'Budget Model'!H26</f>
        <v>29310</v>
      </c>
      <c r="C17" s="70">
        <f>'Budget Model'!H27</f>
        <v>3300</v>
      </c>
      <c r="D17" s="71">
        <f>'Budget Model'!H28</f>
        <v>13005</v>
      </c>
      <c r="E17" s="72">
        <f>'Budget Model'!H29</f>
        <v>1260</v>
      </c>
      <c r="F17" s="73">
        <f>'Budget Model'!H30</f>
        <v>46875</v>
      </c>
      <c r="G17" s="4"/>
      <c r="H17" s="4"/>
    </row>
    <row r="18" spans="1:8" ht="19.5" customHeight="1" x14ac:dyDescent="0.25">
      <c r="A18" s="11" t="s">
        <v>257</v>
      </c>
      <c r="B18" s="74">
        <f>'Budget Model'!I26</f>
        <v>121276.59574468088</v>
      </c>
      <c r="C18" s="75">
        <f>'Budget Model'!I27</f>
        <v>12765.957446808512</v>
      </c>
      <c r="D18" s="76">
        <f>'Budget Model'!I28</f>
        <v>49787.234042553195</v>
      </c>
      <c r="E18" s="77">
        <f>'Budget Model'!I29</f>
        <v>6702.1276595744685</v>
      </c>
      <c r="F18" s="73">
        <f>'Budget Model'!I30</f>
        <v>190531.91489361707</v>
      </c>
      <c r="G18" s="4"/>
      <c r="H18" s="4"/>
    </row>
    <row r="19" spans="1:8" ht="19.5" customHeight="1" x14ac:dyDescent="0.25">
      <c r="A19" s="1" t="s">
        <v>258</v>
      </c>
      <c r="B19" s="69">
        <f>'Budget Model'!J26</f>
        <v>68500</v>
      </c>
      <c r="C19" s="70">
        <f>'Budget Model'!J27</f>
        <v>17000</v>
      </c>
      <c r="D19" s="71">
        <f>'Budget Model'!J28</f>
        <v>23000</v>
      </c>
      <c r="E19" s="72">
        <f>'Budget Model'!J29</f>
        <v>0</v>
      </c>
      <c r="F19" s="73">
        <f>'Budget Model'!J30</f>
        <v>108500</v>
      </c>
      <c r="G19" s="4"/>
      <c r="H19" s="4"/>
    </row>
    <row r="20" spans="1:8" ht="19.5" customHeight="1" x14ac:dyDescent="0.25">
      <c r="A20" s="11" t="s">
        <v>259</v>
      </c>
      <c r="B20" s="74">
        <f>'Budget Model'!K26</f>
        <v>28550</v>
      </c>
      <c r="C20" s="75">
        <f>'Budget Model'!K27</f>
        <v>7500</v>
      </c>
      <c r="D20" s="76">
        <f>'Budget Model'!K28</f>
        <v>7450</v>
      </c>
      <c r="E20" s="77">
        <f>'Budget Model'!K29</f>
        <v>0</v>
      </c>
      <c r="F20" s="73">
        <f>'Budget Model'!K30</f>
        <v>43500</v>
      </c>
      <c r="G20" s="4"/>
      <c r="H20" s="4"/>
    </row>
    <row r="21" spans="1:8" ht="19.5" customHeight="1" x14ac:dyDescent="0.25">
      <c r="A21" s="1" t="s">
        <v>260</v>
      </c>
      <c r="B21" s="69">
        <f>'Budget Model'!L26</f>
        <v>24000</v>
      </c>
      <c r="C21" s="70">
        <f>'Budget Model'!L27</f>
        <v>2900</v>
      </c>
      <c r="D21" s="71">
        <f>'Budget Model'!L28</f>
        <v>11400</v>
      </c>
      <c r="E21" s="72">
        <f>'Budget Model'!L29</f>
        <v>600</v>
      </c>
      <c r="F21" s="73">
        <f>'Budget Model'!L30</f>
        <v>38900</v>
      </c>
      <c r="G21" s="4"/>
      <c r="H21" s="4"/>
    </row>
    <row r="22" spans="1:8" ht="19.5" customHeight="1" x14ac:dyDescent="0.25">
      <c r="A22" s="11" t="s">
        <v>261</v>
      </c>
      <c r="B22" s="74">
        <f>'Budget Model'!M26</f>
        <v>21400</v>
      </c>
      <c r="C22" s="75">
        <f>'Budget Model'!M27</f>
        <v>3600</v>
      </c>
      <c r="D22" s="76">
        <f>'Budget Model'!M28</f>
        <v>10700</v>
      </c>
      <c r="E22" s="77">
        <f>'Budget Model'!M29</f>
        <v>0</v>
      </c>
      <c r="F22" s="73">
        <f>'Budget Model'!M30</f>
        <v>35700</v>
      </c>
      <c r="G22" s="4"/>
      <c r="H22" s="4"/>
    </row>
    <row r="23" spans="1:8" ht="19.5" customHeight="1" x14ac:dyDescent="0.25">
      <c r="A23" s="66" t="s">
        <v>253</v>
      </c>
      <c r="B23" s="78">
        <f>'Budget Model'!N26</f>
        <v>374441.59574468079</v>
      </c>
      <c r="C23" s="78">
        <f>'Budget Model'!N27</f>
        <v>56125.957446808512</v>
      </c>
      <c r="D23" s="78">
        <f>'Budget Model'!N28</f>
        <v>153962.2340425532</v>
      </c>
      <c r="E23" s="78">
        <f>'Budget Model'!N29</f>
        <v>10692.127659574468</v>
      </c>
      <c r="F23" s="79">
        <f>'Budget Model'!N30</f>
        <v>595221.91489361692</v>
      </c>
      <c r="G23" s="4"/>
      <c r="H23" s="4"/>
    </row>
    <row r="26" spans="1:8" ht="21.75" customHeight="1" x14ac:dyDescent="0.25">
      <c r="A26" s="89" t="s">
        <v>262</v>
      </c>
      <c r="B26" s="89"/>
      <c r="C26" s="89"/>
      <c r="D26" s="89"/>
      <c r="E26" s="89"/>
      <c r="F26" s="89"/>
      <c r="G26" s="89"/>
      <c r="H26" s="89"/>
    </row>
    <row r="27" spans="1:8" ht="30" customHeight="1" x14ac:dyDescent="0.25">
      <c r="A27" s="80" t="s">
        <v>263</v>
      </c>
      <c r="B27" s="84" t="s">
        <v>264</v>
      </c>
      <c r="C27" s="84"/>
      <c r="D27" s="84"/>
      <c r="E27" s="84"/>
      <c r="F27" s="84"/>
      <c r="G27" s="84"/>
      <c r="H27" s="84"/>
    </row>
    <row r="28" spans="1:8" ht="30" customHeight="1" x14ac:dyDescent="0.25">
      <c r="A28" s="80" t="s">
        <v>263</v>
      </c>
      <c r="B28" s="85" t="s">
        <v>265</v>
      </c>
      <c r="C28" s="85"/>
      <c r="D28" s="85"/>
      <c r="E28" s="85"/>
      <c r="F28" s="85"/>
      <c r="G28" s="85"/>
      <c r="H28" s="85"/>
    </row>
    <row r="29" spans="1:8" ht="30" customHeight="1" x14ac:dyDescent="0.25">
      <c r="A29" s="81" t="s">
        <v>266</v>
      </c>
      <c r="B29" s="84" t="s">
        <v>267</v>
      </c>
      <c r="C29" s="84"/>
      <c r="D29" s="84"/>
      <c r="E29" s="84"/>
      <c r="F29" s="84"/>
      <c r="G29" s="84"/>
      <c r="H29" s="84"/>
    </row>
    <row r="30" spans="1:8" ht="30" customHeight="1" x14ac:dyDescent="0.25">
      <c r="A30" s="81" t="s">
        <v>266</v>
      </c>
      <c r="B30" s="85" t="s">
        <v>268</v>
      </c>
      <c r="C30" s="85"/>
      <c r="D30" s="85"/>
      <c r="E30" s="85"/>
      <c r="F30" s="85"/>
      <c r="G30" s="85"/>
      <c r="H30" s="85"/>
    </row>
    <row r="31" spans="1:8" ht="30" customHeight="1" x14ac:dyDescent="0.25">
      <c r="A31" s="82" t="s">
        <v>269</v>
      </c>
      <c r="B31" s="84" t="s">
        <v>270</v>
      </c>
      <c r="C31" s="84"/>
      <c r="D31" s="84"/>
      <c r="E31" s="84"/>
      <c r="F31" s="84"/>
      <c r="G31" s="84"/>
      <c r="H31" s="84"/>
    </row>
    <row r="32" spans="1:8" ht="30" customHeight="1" x14ac:dyDescent="0.25">
      <c r="A32" s="82" t="s">
        <v>269</v>
      </c>
      <c r="B32" s="85" t="s">
        <v>271</v>
      </c>
      <c r="C32" s="85"/>
      <c r="D32" s="85"/>
      <c r="E32" s="85"/>
      <c r="F32" s="85"/>
      <c r="G32" s="85"/>
      <c r="H32" s="85"/>
    </row>
    <row r="33" spans="1:8" ht="30" customHeight="1" x14ac:dyDescent="0.25">
      <c r="A33" s="83" t="s">
        <v>272</v>
      </c>
      <c r="B33" s="84" t="s">
        <v>273</v>
      </c>
      <c r="C33" s="84"/>
      <c r="D33" s="84"/>
      <c r="E33" s="84"/>
      <c r="F33" s="84"/>
      <c r="G33" s="84"/>
      <c r="H33" s="84"/>
    </row>
    <row r="34" spans="1:8" ht="30" customHeight="1" x14ac:dyDescent="0.25">
      <c r="A34" s="83" t="s">
        <v>272</v>
      </c>
      <c r="B34" s="85" t="s">
        <v>274</v>
      </c>
      <c r="C34" s="85"/>
      <c r="D34" s="85"/>
      <c r="E34" s="85"/>
      <c r="F34" s="85"/>
      <c r="G34" s="85"/>
      <c r="H34" s="85"/>
    </row>
    <row r="35" spans="1:8" ht="30" customHeight="1" x14ac:dyDescent="0.25">
      <c r="A35" s="83" t="s">
        <v>272</v>
      </c>
      <c r="B35" s="84" t="s">
        <v>275</v>
      </c>
      <c r="C35" s="84"/>
      <c r="D35" s="84"/>
      <c r="E35" s="84"/>
      <c r="F35" s="84"/>
      <c r="G35" s="84"/>
      <c r="H35" s="84"/>
    </row>
  </sheetData>
  <mergeCells count="25">
    <mergeCell ref="A1:H2"/>
    <mergeCell ref="A3:H3"/>
    <mergeCell ref="C5:E5"/>
    <mergeCell ref="G5:H5"/>
    <mergeCell ref="C6:E6"/>
    <mergeCell ref="G6:H6"/>
    <mergeCell ref="C7:E7"/>
    <mergeCell ref="G7:H7"/>
    <mergeCell ref="C8:E8"/>
    <mergeCell ref="G8:H8"/>
    <mergeCell ref="C9:E9"/>
    <mergeCell ref="G9:H9"/>
    <mergeCell ref="C10:E10"/>
    <mergeCell ref="G10:H10"/>
    <mergeCell ref="A13:H13"/>
    <mergeCell ref="A26:H26"/>
    <mergeCell ref="B27:H27"/>
    <mergeCell ref="B33:H33"/>
    <mergeCell ref="B34:H34"/>
    <mergeCell ref="B35:H35"/>
    <mergeCell ref="B28:H28"/>
    <mergeCell ref="B29:H29"/>
    <mergeCell ref="B30:H30"/>
    <mergeCell ref="B31:H31"/>
    <mergeCell ref="B32:H3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Assumptions</vt:lpstr>
      <vt:lpstr>Budget Model</vt:lpstr>
      <vt:lpstr>Strategic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Jon EUSTACE</cp:lastModifiedBy>
  <cp:revision>0</cp:revision>
  <dcterms:created xsi:type="dcterms:W3CDTF">2026-04-19T00:02:28Z</dcterms:created>
  <dcterms:modified xsi:type="dcterms:W3CDTF">2026-04-19T00:25:49Z</dcterms:modified>
  <dc:language>en-US</dc:language>
</cp:coreProperties>
</file>