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cuments\Master Plan Docs\Conferences\"/>
    </mc:Choice>
  </mc:AlternateContent>
  <xr:revisionPtr revIDLastSave="0" documentId="8_{155E6F38-6DCE-4DEB-8695-F63264775A80}" xr6:coauthVersionLast="47" xr6:coauthVersionMax="47" xr10:uidLastSave="{00000000-0000-0000-0000-000000000000}"/>
  <bookViews>
    <workbookView xWindow="-120" yWindow="-120" windowWidth="29040" windowHeight="15840" tabRatio="500" xr2:uid="{00000000-000D-0000-FFFF-FFFF00000000}"/>
  </bookViews>
  <sheets>
    <sheet name="How To Use" sheetId="1" r:id="rId1"/>
    <sheet name="Action Tracker" sheetId="2" r:id="rId2"/>
    <sheet name="Dashboard" sheetId="3" r:id="rId3"/>
    <sheet name="Year Calendar" sheetId="4" r:id="rId4"/>
    <sheet name="Attendee Action Plan" sheetId="5" r:id="rId5"/>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81" i="5" l="1"/>
  <c r="L81" i="5"/>
  <c r="S28" i="4"/>
  <c r="M28" i="4"/>
  <c r="S27" i="4"/>
  <c r="M27" i="4"/>
  <c r="S26" i="4"/>
  <c r="M26" i="4"/>
  <c r="S25" i="4"/>
  <c r="M25" i="4"/>
  <c r="K24" i="4"/>
  <c r="O23" i="4"/>
  <c r="O22" i="4"/>
  <c r="O21" i="4"/>
  <c r="O20" i="4"/>
  <c r="O19" i="4"/>
  <c r="O18" i="4"/>
  <c r="O17" i="4"/>
  <c r="O16" i="4"/>
  <c r="O15" i="4"/>
  <c r="O14" i="4"/>
  <c r="O13" i="4"/>
  <c r="O12" i="4"/>
  <c r="O11" i="4"/>
  <c r="O10" i="4"/>
  <c r="O9" i="4"/>
  <c r="O8" i="4"/>
  <c r="O7" i="4"/>
  <c r="O6" i="4"/>
  <c r="O5" i="4"/>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G19" i="3"/>
  <c r="F19" i="3"/>
  <c r="E19" i="3"/>
  <c r="D19" i="3"/>
  <c r="C19" i="3"/>
  <c r="B19" i="3"/>
  <c r="F18" i="3"/>
  <c r="E18" i="3"/>
  <c r="D18" i="3"/>
  <c r="C18" i="3"/>
  <c r="B18" i="3"/>
  <c r="G17" i="3"/>
  <c r="F17" i="3"/>
  <c r="E17" i="3"/>
  <c r="D17" i="3"/>
  <c r="C17" i="3"/>
  <c r="B17" i="3"/>
  <c r="G16" i="3"/>
  <c r="F16" i="3"/>
  <c r="E16" i="3"/>
  <c r="D16" i="3"/>
  <c r="C16" i="3"/>
  <c r="B16" i="3"/>
  <c r="G15" i="3"/>
  <c r="F15" i="3"/>
  <c r="E15" i="3"/>
  <c r="D15" i="3"/>
  <c r="C15" i="3"/>
  <c r="B15" i="3"/>
  <c r="G14" i="3"/>
  <c r="F14" i="3"/>
  <c r="E14" i="3"/>
  <c r="D14" i="3"/>
  <c r="C14" i="3"/>
  <c r="B14" i="3"/>
  <c r="G13" i="3"/>
  <c r="F13" i="3"/>
  <c r="E13" i="3"/>
  <c r="D13" i="3"/>
  <c r="C13" i="3"/>
  <c r="B13" i="3"/>
  <c r="G12" i="3"/>
  <c r="F12" i="3"/>
  <c r="E12" i="3"/>
  <c r="D12" i="3"/>
  <c r="C12" i="3"/>
  <c r="B12" i="3"/>
  <c r="G11" i="3"/>
  <c r="F11" i="3"/>
  <c r="E11" i="3"/>
  <c r="D11" i="3"/>
  <c r="C11" i="3"/>
  <c r="B11" i="3"/>
  <c r="G10" i="3"/>
  <c r="F10" i="3"/>
  <c r="E10" i="3"/>
  <c r="D10" i="3"/>
  <c r="C10" i="3"/>
  <c r="B10" i="3"/>
  <c r="A6" i="3"/>
  <c r="E5" i="3"/>
  <c r="D5" i="3"/>
  <c r="C5" i="3"/>
  <c r="B5" i="3"/>
  <c r="A5" i="3"/>
  <c r="K87" i="2"/>
  <c r="J87"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alcChain>
</file>

<file path=xl/sharedStrings.xml><?xml version="1.0" encoding="utf-8"?>
<sst xmlns="http://schemas.openxmlformats.org/spreadsheetml/2006/main" count="1851" uniqueCount="646">
  <si>
    <t>BU SERVICES — 2026 CONFERENCE ACTION TRACKER · HOW TO USE THIS WORKBOOK</t>
  </si>
  <si>
    <t>This workbook is the operational backbone of the BU Services 2026 conference programme. It works alongside the HTML Conference Action Plan portal. Read this sheet before making any changes.</t>
  </si>
  <si>
    <t>📋  WORKBOOK OVERVIEW</t>
  </si>
  <si>
    <t>Three tabs work together — each has a different purpose</t>
  </si>
  <si>
    <t>Tab 1 — Action Tracker</t>
  </si>
  <si>
    <t>The main working list. 72 action items, one per row. Every conference task from booking flights to post-show Salesforce entry. Owners, due dates, status dropdowns, actual cost tracking, and reference numbers (ACT-001 to ACT-072). This is what the team updates week to week.</t>
  </si>
  <si>
    <t>Tab 2 — Dashboard</t>
  </si>
  <si>
    <t>Auto-updates as you change statuses in the Action Tracker. Shows completion % by owner and by month. No manual entry needed — just change statuses in Tab 1 and this refreshes automatically.</t>
  </si>
  <si>
    <t>Tab 3 — Year Calendar</t>
  </si>
  <si>
    <t>One row per conference — the full 2026 calendar view. Dates, locations, attendees, booth status, estimated cost, and the APPROVAL column. This is where Jon's approval decisions are recorded and where budget totals by approval status are calculated.</t>
  </si>
  <si>
    <t>Companion HTML Portal</t>
  </si>
  <si>
    <t>The HTML Conference Action Plan file (open in Chrome) is the visual review layer. Use it to browse conferences, approve/reject in the browser, and export a summary. The Download buttons in the HTML deliver this Excel and the Budget Model directly.</t>
  </si>
  <si>
    <t>✅  APPROVAL WORKFLOW — Step by Step</t>
  </si>
  <si>
    <t>Jon reviews conferences in the HTML portal → decisions recorded here in Year Calendar tab → actions activate in Action Tracker</t>
  </si>
  <si>
    <t>1</t>
  </si>
  <si>
    <t>Open the HTML Conference Action Plan in Chrome</t>
  </si>
  <si>
    <t>File: BU_Services_Conference_Action_Plan.html. Open locally in Chrome or from SharePoint. The Approval Summary panel is at the very top below the header — it shows 0 approved until you start deciding.</t>
  </si>
  <si>
    <t>2</t>
  </si>
  <si>
    <t>Review each conference card</t>
  </si>
  <si>
    <t>Scroll to Section 03 — Conference Action Cards. Each card shows the conference details, strategic score, estimated cost, initiative alignment, and full action checklist. Filter by priority using the buttons at the top of the section.</t>
  </si>
  <si>
    <t>3</t>
  </si>
  <si>
    <t>Click Approve / Hold / Reject on each card</t>
  </si>
  <si>
    <t>Each card has a decision bar at the bottom. ✓ Approve = green border. ⏸ Hold = amber. ✗ Reject = card dims to 50% opacity. Add an optional note in the text field (e.g. 'Budget too high — reduce headcount' or 'Confirm waitlist first'). Decisions save automatically to browser localStorage — they persist if you close and reopen the file.</t>
  </si>
  <si>
    <t>4</t>
  </si>
  <si>
    <t>Review the Approval Summary panel</t>
  </si>
  <si>
    <t>The panel at the top of the HTML updates in real time: count of Approved / On Hold / Rejected / Pending, and four budget totals showing how much spend is committed, on hold, cut, or undecided.</t>
  </si>
  <si>
    <t>5</t>
  </si>
  <si>
    <t>Export Approvals</t>
  </si>
  <si>
    <t>Click the '📤 Export Approvals' button in the summary panel. A modal appears with a formatted text summary of all decisions. Click 'Copy to Clipboard'. This gives you the full list to share with Shanny and the commercial team.</t>
  </si>
  <si>
    <t>6</t>
  </si>
  <si>
    <t>Update this Excel — Year Calendar tab → Column M</t>
  </si>
  <si>
    <t>Open the Year Calendar tab. Find each conference. Change the dropdown in Column M (Approval Decision) to match your HTML decisions: Approved / On Hold / Rejected / Pending. The cell turns green/amber/red automatically. Add any notes in Column N. The four budget summary rows at the bottom update instantly.</t>
  </si>
  <si>
    <t>7</t>
  </si>
  <si>
    <t>Action Tracker auto-reflects the decisions</t>
  </si>
  <si>
    <t>The Action Tracker tab has a Column O (Conference Approval) which VLOOKUP pulls from the Year Calendar. Any conference marked Rejected will show 'Rejected' in red next to every related action item — Shanny and the team immediately know which logistics to cancel or not book.</t>
  </si>
  <si>
    <t>📝  ACTION TRACKER — Column Guide</t>
  </si>
  <si>
    <t>Tab 1 · 72 rows · one action per row</t>
  </si>
  <si>
    <t>A — Month</t>
  </si>
  <si>
    <t>Which calendar month this action belongs to (Jan, Feb, Mar... or 'Ongoing' for standing items). Used by Dashboard to calculate monthly completion rates.</t>
  </si>
  <si>
    <t>B — Conference</t>
  </si>
  <si>
    <t>Conference name. Links to Year Calendar via VLOOKUP for the approval status. 'ALL SHOWS' = applies to every conference (standing rules).</t>
  </si>
  <si>
    <t>C — Priority</t>
  </si>
  <si>
    <t>HIGH / MED-H / MED / LOW — matches the conference priority rating from the strategic scoring model.</t>
  </si>
  <si>
    <t>D — Initiative</t>
  </si>
  <si>
    <t>Which of the 5 BU Services initiatives this action serves: Mining NDT · Pipeline DA · Powerline · Nuclear/OPG · 3X Composite · All Initiatives.</t>
  </si>
  <si>
    <t>E — Owner</t>
  </si>
  <si>
    <t>Person responsible for completing this action. Shanny Tremblay = all logistics. Commercial leads = account prep and Salesforce. Jon = strategic decisions.</t>
  </si>
  <si>
    <t>F — Category</t>
  </si>
  <si>
    <t>Logistics (travel, hotels, freight, booth) · Commercial (account prep, Salesforce, messaging) · Admin (budget review, standing rules).</t>
  </si>
  <si>
    <t>G — Action Item</t>
  </si>
  <si>
    <t>The specific task. Written as a clear instruction — not a vague goal. Each action has a single owner and a single deliverable.</t>
  </si>
  <si>
    <t>H — Due Date</t>
  </si>
  <si>
    <t>Target completion date. Format: YYYY-MM-DD for sortable dates, or relative ('After each show', 'Monthly', 'Quarterly'). Sort this column to see what's coming up.</t>
  </si>
  <si>
    <t>I — Status</t>
  </si>
  <si>
    <t>DROPDOWN — change this to track progress. Not Started (default/red) · In Progress (amber) · Complete (green) · Blocked (purple) · N/A (grey). The Dashboard tab reads this column for all completion metrics.</t>
  </si>
  <si>
    <t>J — Actual Cost</t>
  </si>
  <si>
    <t>Enter real invoice amounts here as they come in (blue = input cell). Used by the running total at the bottom and by the quarterly budget vs actual review.</t>
  </si>
  <si>
    <t>K — Done ☐</t>
  </si>
  <si>
    <t>Manual checkbox column — tick ☑ when complete as a quick visual scan. Not formula-driven, just a convenience column for Shanny's weekly review.</t>
  </si>
  <si>
    <t>L — Completed Date</t>
  </si>
  <si>
    <t>Enter the date when status is changed to Complete. Helps track whether actions were done on time vs late.</t>
  </si>
  <si>
    <t>M — Notes/Updates</t>
  </si>
  <si>
    <t>Free text — add any context, blockers, confirmations, or follow-up notes here. Italicised grey text.</t>
  </si>
  <si>
    <t>N — Ref #</t>
  </si>
  <si>
    <t>ACT-001 through ACT-072. Use these reference numbers when communicating about specific actions (e.g. 'ACT-014 is blocked — hotel sold out').</t>
  </si>
  <si>
    <t>O — Conf. Approval</t>
  </si>
  <si>
    <t>Auto-populated via VLOOKUP from Year Calendar Col M. Shows the approval status of the parent conference — turns green/amber/red. If a conference is Rejected, all its action items show 'Rejected' here so Shanny knows to cancel bookings.</t>
  </si>
  <si>
    <t>🔴🟡🟢  STATUS DROPDOWN GUIDE</t>
  </si>
  <si>
    <t>Not Started</t>
  </si>
  <si>
    <t>Default state for all actions. Red text on red background. No work has begun.</t>
  </si>
  <si>
    <t>In Progress</t>
  </si>
  <si>
    <t>Work has started but is not complete. Amber. Use this when flights are being searched, a hotel is being checked, or a prep deck is being drafted.</t>
  </si>
  <si>
    <t>Complete</t>
  </si>
  <si>
    <t>Action fully done. Green. For logistics: booking confirmed + confirmation email received. For commercial: leads in Salesforce + tagged correctly.</t>
  </si>
  <si>
    <t>Blocked</t>
  </si>
  <si>
    <t>Cannot proceed — waiting on something external (e.g. waitlist response, Jon decision, budget approval). Purple. Add a note in Col M explaining what is blocking it.</t>
  </si>
  <si>
    <t>N/A</t>
  </si>
  <si>
    <t>Action does not apply — e.g. a booth-shipping action for a walkin-only conference. Grey. Better than deleting the row as it preserves the audit trail.</t>
  </si>
  <si>
    <t>👤  WHO DOES WHAT — Owner Quick Reference</t>
  </si>
  <si>
    <t>Shanny Tremblay</t>
  </si>
  <si>
    <t>Conference Logistics</t>
  </si>
  <si>
    <t>All flight bookings, hotel reservations, badge registration, booth coordination, freight shipping. Highest action count. Start Jan–Mar bookings immediately.</t>
  </si>
  <si>
    <t>Éric Carmichael</t>
  </si>
  <si>
    <t>IT / Systems</t>
  </si>
  <si>
    <t>Power Automate flows, Salesforce field config, SharePoint Lists, OneNote structure, deck scheduling script. See Go-Live Roadmap for his full task list.</t>
  </si>
  <si>
    <t>Jon Eustace</t>
  </si>
  <si>
    <t>CEO — Strategic</t>
  </si>
  <si>
    <t>Approval decisions, strategic gap actions (Nuclear/Powerline gaps), ASNT booth sign-off, API consolidation call with Ekoscan BU.</t>
  </si>
  <si>
    <t>Olivier Marcotte</t>
  </si>
  <si>
    <t>CRO — Nuclear/OPG</t>
  </si>
  <si>
    <t>Pre-schedules OPG + Bruce Power meetings at CNA and IPEIA. Nuclear MSA strategy conversations. Largest initiative owner ($47.9M).</t>
  </si>
  <si>
    <t>Vinoth Tharma</t>
  </si>
  <si>
    <t>Commercial Lead East</t>
  </si>
  <si>
    <t>Mining NDT target lists at NDTMA, ECNDT, ASNT, CIM. Nuclear cross-sell. Attends 6 conferences — most commercial travel on the team.</t>
  </si>
  <si>
    <t>Max Aggrey</t>
  </si>
  <si>
    <t>Commercial Lead West</t>
  </si>
  <si>
    <t>IPEIA coordination lead. 3X Composite cross-sell kit. West coast mining at CIM Vancouver. IPC Pipeline prep.</t>
  </si>
  <si>
    <t>Rick Carlton</t>
  </si>
  <si>
    <t>Pipeline DA Lead</t>
  </si>
  <si>
    <t>Pipeline DA messaging consistency across 7 shows: PPIM → AMPP → IPEIA → API Insp. → IPC → IPCE → API Tank. Owns all Pipeline DA target lists.</t>
  </si>
  <si>
    <t>Mathieu Beauchesne</t>
  </si>
  <si>
    <t>EVP</t>
  </si>
  <si>
    <t>Powerline initiative at T&amp;D Chicago + Cigre Paris. Owns Powerline gap identification (new Canadian utility show). Quarterly budget vs actual review.</t>
  </si>
  <si>
    <t>Alex Cyr</t>
  </si>
  <si>
    <t>COO</t>
  </si>
  <si>
    <t>Smart Energy Halifax walkin. Operational capacity planning.</t>
  </si>
  <si>
    <t>Louis-Pierre Théberge</t>
  </si>
  <si>
    <t>Nuclear Specialist</t>
  </si>
  <si>
    <t>CGSB certification status — confirm all team qualifications before CNA + IPEIA. OPG outage eligibility depends on this.</t>
  </si>
  <si>
    <t>Jeremy Irwin</t>
  </si>
  <si>
    <t>Dir. Finance, EIG NA</t>
  </si>
  <si>
    <t>Quarterly conference budget vs actual review alongside Jon and Mathieu. Finance oversight on actual spend vs Budget Model.</t>
  </si>
  <si>
    <t>All Attendees</t>
  </si>
  <si>
    <t>Post-Show Rule</t>
  </si>
  <si>
    <t>Every person attending any conference must enter all leads into Salesforce within 48 hours of return. BU_Initiative__c tag mandatory on every opportunity. No exceptions.</t>
  </si>
  <si>
    <t>📏  RULES &amp; CONVENTIONS</t>
  </si>
  <si>
    <t>48-hour Salesforce rule</t>
  </si>
  <si>
    <t>Non-negotiable. Every lead from every conference must be in Salesforce within 48 hours of returning. Tag BU_Initiative__c on every opportunity. This feeds the Sunday Power Automate flow → actuals.json → Command Centre. If it's not in Salesforce, it doesn't exist commercially.</t>
  </si>
  <si>
    <t>Blue cells = editable inputs</t>
  </si>
  <si>
    <t>Throughout this workbook, blue text on a light blue background means the cell is an input you should change. Black text = formula. Do not overwrite black formula cells. If you need to correct a formula error, contact Éric.</t>
  </si>
  <si>
    <t>Actual cost column (J)</t>
  </si>
  <si>
    <t>Enter real invoice or receipt amounts in Column J as they come in. Do not estimate — only real actuals. Estimates live in the Budget Model (separate file). This tracker records what was actually spent.</t>
  </si>
  <si>
    <t>Never delete rows</t>
  </si>
  <si>
    <t>If an action no longer applies, change Status to N/A. Deleting rows breaks VLOOKUP references in the Dashboard and disrupts the reference number sequence (ACT-001 to ACT-072). Add new rows at the bottom if needed.</t>
  </si>
  <si>
    <t>Approval column (O) is read-only</t>
  </si>
  <si>
    <t>Column O in the Action Tracker is formula-driven — it reads from the Year Calendar Col M. Do not type in Column O directly. To change an approval decision, go to Year Calendar → Col M dropdown.</t>
  </si>
  <si>
    <t>Quarterly review dates</t>
  </si>
  <si>
    <t>Jon, Mathieu (EVP), and Jeremy Irwin (Dir. Finance) review actual vs budget four times per year: Q1 Apr 15 · Q2 Jul 15 · Q3 Oct 15 · Q4 Jan 15, 2027. Update Col J actuals before each review date.</t>
  </si>
  <si>
    <t>Ref numbers are permanent</t>
  </si>
  <si>
    <t>ACT-001 through ACT-072 are fixed reference numbers. Use them in emails, Slack, and meeting notes to refer to specific actions (e.g. 'ACT-014 is blocked pending Jon decision'). Do not renumber.</t>
  </si>
  <si>
    <t>💡  TIPS FOR GETTING THE MOST OUT OF THIS WORKBOOK</t>
  </si>
  <si>
    <t>→  Sort Col H (Due Date) to see what's urgent</t>
  </si>
  <si>
    <t>Click the dropdown arrow on the Due Date column header and sort A→Z. All upcoming deadlines float to the top. Do this every Monday morning for a weekly logistics check.</t>
  </si>
  <si>
    <t>→  Filter Col E (Owner) for individual workload</t>
  </si>
  <si>
    <t>Click the dropdown on Owner and select a single name — instantly see only that person's actions. Shanny can filter to her name to see just logistics tasks. Rick can filter to see his Pipeline DA prep list.</t>
  </si>
  <si>
    <t>→  Filter Col I (Status) = Blocked to find problems</t>
  </si>
  <si>
    <t>Filter Status = 'Blocked' to instantly see everything that is stuck and needs a decision or escalation. Review this in every commercial leadership meeting.</t>
  </si>
  <si>
    <t>→  Filter Col O (Approval) = Rejected to cancel bookings</t>
  </si>
  <si>
    <t>After Jon approves/rejects in the HTML portal and you update Year Calendar, filter Col O = Rejected. Every action for rejected conferences surfaces immediately — Shanny can cancel bookings in one session.</t>
  </si>
  <si>
    <t>→  Use the Dashboard for meeting reporting</t>
  </si>
  <si>
    <t>The Dashboard tab gives a clean summary by owner and by month. Screenshot it for the monthly commercial meeting to show conference preparation progress at a glance.</t>
  </si>
  <si>
    <t>→  Keep the Budget Model open alongside this file</t>
  </si>
  <si>
    <t>This tracker records actuals (Col J). The Budget Model (separate file) has the estimates and assumptions. Compare them side by side at quarterly reviews to understand where the model was accurate and where it needs calibrating.</t>
  </si>
  <si>
    <t>BU Services Commercial Management System · 2026 Conference Action Tracker · Jon Eustace, CEO North America · Ekoscan Integrity Group · Confidential</t>
  </si>
  <si>
    <t xml:space="preserve">  Read this before using the tracker. Three roles. Each has a specific job. None overlap.</t>
  </si>
  <si>
    <t xml:space="preserve">  📋  SHANNY TREMBLAY — Conference Logistics</t>
  </si>
  <si>
    <t xml:space="preserve">  ✅  JON EUSTACE — Conference Approvals &amp; SF Outcomes</t>
  </si>
  <si>
    <t xml:space="preserve">  💰  JEREMY IRWIN — Budget vs Actual Review</t>
  </si>
  <si>
    <t xml:space="preserve">  Logistics Coordinator — BU Services (Nucleom/Nortech) ONLY</t>
  </si>
  <si>
    <t xml:space="preserve">  CEO North America — Strategic decisions + commercial outcomes</t>
  </si>
  <si>
    <t xml:space="preserve">  Director of Finance, EIG North America — Financial oversight</t>
  </si>
  <si>
    <t xml:space="preserve">  ✔  After each BU Services conference: open this file on SharePoint</t>
  </si>
  <si>
    <t xml:space="preserve">  ✔  Review Conference Action Plan (HTML) → Approve / Hold / Reject each show</t>
  </si>
  <si>
    <t xml:space="preserve">  ✔  Quarterly budget vs actual review: Apr 15 · Jul 15 · Oct 15 · Jan 15</t>
  </si>
  <si>
    <t xml:space="preserve">  ✔  Year Calendar tab → find conference row → enter total actual cost in Column S “Total Actual (CAD)”</t>
  </si>
  <si>
    <t xml:space="preserve">  ✔  After each conference: run SF report 'Conference Leads 2026'</t>
  </si>
  <si>
    <t xml:space="preserve">  ✔  Reviews Col J (cost breakdown) vs Col K (budget estimate) per conference</t>
  </si>
  <si>
    <t xml:space="preserve">  ✔  Action Tracker tab → enter actual costs by category (Col J) for detail</t>
  </si>
  <si>
    <t xml:space="preserve">  ✔  Enter leads + opps counts via Teams Adaptive Card (sent automatically)</t>
  </si>
  <si>
    <t xml:space="preserve">  ✔  Flags any show exceeding budget by &gt;15% — brief explanation required</t>
  </si>
  <si>
    <t xml:space="preserve">  ✔  NOT responsible for Ekoscan BU shows (PPIM, NDTMA, AMPP, COFREND, API EIG)</t>
  </si>
  <si>
    <t xml:space="preserve">  ✔  This feeds Cost per Lead + Cost per Opp KPIs in the Command Centre</t>
  </si>
  <si>
    <t xml:space="preserve">  ✔  Reviews Salesforce outcomes (leads, opps) alongside cost data</t>
  </si>
  <si>
    <t xml:space="preserve">  ⚠  ALL ATTENDEES — 48-HOUR SALESFORCE RULE: Enter all leads in Salesforce within 48 hours of returning. Tag BU_Initiative__c on every opportunity. No exceptions — the Sunday PA flow reads this data.</t>
  </si>
  <si>
    <t>Month</t>
  </si>
  <si>
    <t>Conference</t>
  </si>
  <si>
    <t>Priority</t>
  </si>
  <si>
    <t>Initiative</t>
  </si>
  <si>
    <t>Owner</t>
  </si>
  <si>
    <t>Category</t>
  </si>
  <si>
    <t>Action Item</t>
  </si>
  <si>
    <t>Due Date</t>
  </si>
  <si>
    <t>Status</t>
  </si>
  <si>
    <t>Actual
Cost (CAD)</t>
  </si>
  <si>
    <t>Done
?</t>
  </si>
  <si>
    <t>Completed
Date</t>
  </si>
  <si>
    <t>Notes / Updates</t>
  </si>
  <si>
    <t>Ref #</t>
  </si>
  <si>
    <t>Conference
Approval</t>
  </si>
  <si>
    <t>Logistics
Owner (BU)</t>
  </si>
  <si>
    <t>Jan</t>
  </si>
  <si>
    <t>PPIM 2026</t>
  </si>
  <si>
    <t>HIGH</t>
  </si>
  <si>
    <t>Pipeline DA</t>
  </si>
  <si>
    <t>Logistics</t>
  </si>
  <si>
    <t>Confirm booth #113 details and freight shipping address with organizer</t>
  </si>
  <si>
    <t>2025-12-15</t>
  </si>
  <si>
    <t>☐</t>
  </si>
  <si>
    <t>Already booked</t>
  </si>
  <si>
    <t>ACT-001</t>
  </si>
  <si>
    <t>Ekoscan BU</t>
  </si>
  <si>
    <t>Ekoscan BU Logistics</t>
  </si>
  <si>
    <t>Book flights YQB→Houston (IAH) for Jeff, Anthony, Aaron</t>
  </si>
  <si>
    <t>2025-12-01</t>
  </si>
  <si>
    <t>Ekoscan BU manages logistics — coordinate only · Return ~$820/person CAD</t>
  </si>
  <si>
    <t>ACT-002</t>
  </si>
  <si>
    <t>Book hotel — Hilton Americas or nearby for 5 nights</t>
  </si>
  <si>
    <t>Ekoscan BU manages logistics — coordinate only · ~$295/night</t>
  </si>
  <si>
    <t>ACT-003</t>
  </si>
  <si>
    <t>Commercial</t>
  </si>
  <si>
    <t>Prepare Pipeline DA talking points and target account list for Houston</t>
  </si>
  <si>
    <t>2025-12-20</t>
  </si>
  <si>
    <t>Align with Vinoth on messaging</t>
  </si>
  <si>
    <t>ACT-004</t>
  </si>
  <si>
    <t>Ship booth display and materials to George R. Brown Convention Center</t>
  </si>
  <si>
    <t>2026-01-10</t>
  </si>
  <si>
    <t>Ekoscan BU manages logistics — coordinate only · Allow 5 business days lead</t>
  </si>
  <si>
    <t>ACT-005</t>
  </si>
  <si>
    <t>Schedule post-show debrief and enter leads into Salesforce within 48h of return</t>
  </si>
  <si>
    <t>2026-01-25</t>
  </si>
  <si>
    <t>Tag all opps with BU_Initiative__c = Pipeline</t>
  </si>
  <si>
    <t>ACT-006</t>
  </si>
  <si>
    <t>Feb</t>
  </si>
  <si>
    <t>NDTMA 2026</t>
  </si>
  <si>
    <t>Mining NDT</t>
  </si>
  <si>
    <t>Prepare TFM/PCI presentation — confirm with organizer abstract deadline</t>
  </si>
  <si>
    <t>2026-01-15</t>
  </si>
  <si>
    <t>Speaker slot confirmed</t>
  </si>
  <si>
    <t>ACT-007</t>
  </si>
  <si>
    <t>Book flights YQB→Las Vegas for Dillon, Jeff, Fred, Guillaume, Anthony</t>
  </si>
  <si>
    <t>Ekoscan BU manages logistics — coordinate only · Return ~$750/person CAD</t>
  </si>
  <si>
    <t>ACT-008</t>
  </si>
  <si>
    <t>Book hotel — Golden Nugget, 4 nights</t>
  </si>
  <si>
    <t>ACT-009</t>
  </si>
  <si>
    <t>Identify top 10 Mining NDT target accounts attending — pre-book meetings</t>
  </si>
  <si>
    <t>2026-01-30</t>
  </si>
  <si>
    <t>Cross-ref with Salesforce account list</t>
  </si>
  <si>
    <t>ACT-010</t>
  </si>
  <si>
    <t>Prepare 3X Composite repair cross-sell kit for NDTMA — embed in every finding conversation</t>
  </si>
  <si>
    <t>3X = embed at every AMBER/RED finding</t>
  </si>
  <si>
    <t>ACT-011</t>
  </si>
  <si>
    <t>Post-show: enter all leads in Salesforce, tag Pipeline DA where applicable</t>
  </si>
  <si>
    <t>2026-02-22</t>
  </si>
  <si>
    <t>48h turnaround rule</t>
  </si>
  <si>
    <t>ACT-012</t>
  </si>
  <si>
    <t>Mar</t>
  </si>
  <si>
    <t>IPEIA 2026</t>
  </si>
  <si>
    <t>All Initiatives</t>
  </si>
  <si>
    <t>IPEIA prep meeting — align all 6 attendees on initiative messaging + account targets</t>
  </si>
  <si>
    <t>2026-02-15</t>
  </si>
  <si>
    <t>Highest ROI show of the year</t>
  </si>
  <si>
    <t>ACT-013</t>
  </si>
  <si>
    <t>BU Services</t>
  </si>
  <si>
    <t>Book flights YQB→Calgary for Max, Keith, Tim, Alex, Rick, Marcos</t>
  </si>
  <si>
    <t>Return ~$620/person CAD</t>
  </si>
  <si>
    <t>ACT-014</t>
  </si>
  <si>
    <t>Book hotel — Telus Convention Centre area, 4 nights × 6 people</t>
  </si>
  <si>
    <t>~$260/night</t>
  </si>
  <si>
    <t>ACT-015</t>
  </si>
  <si>
    <t>Confirm booth #78 / 10×10 setup — ship displays + all initiative materials</t>
  </si>
  <si>
    <t>2026-02-20</t>
  </si>
  <si>
    <t>INTACT BU via Nucleom — coordinate with Marcos</t>
  </si>
  <si>
    <t>ACT-016</t>
  </si>
  <si>
    <t>Nuclear/OPG</t>
  </si>
  <si>
    <t>Pre-schedule meetings with OPG, Bruce Power, and Aecon contacts at IPEIA</t>
  </si>
  <si>
    <t>Nuclear MSA strategy conversations</t>
  </si>
  <si>
    <t>ACT-017</t>
  </si>
  <si>
    <t>Pipeline DA: target Enbridge, TC Energy, Pembina contacts — confirm attendance</t>
  </si>
  <si>
    <t>IPC Pipeline preview conversations</t>
  </si>
  <si>
    <t>ACT-018</t>
  </si>
  <si>
    <t>Post-show: team debrief + Salesforce entry within 48h — all 5 initiative tags</t>
  </si>
  <si>
    <t>2026-03-15</t>
  </si>
  <si>
    <t>Mandatory — first Sunday PA run captures these</t>
  </si>
  <si>
    <t>ACT-019</t>
  </si>
  <si>
    <t>AMPP 2026</t>
  </si>
  <si>
    <t>AMPP prep: 3X Composite + Pipeline DA messaging for corrosion/integrity audience</t>
  </si>
  <si>
    <t>2026-02-28</t>
  </si>
  <si>
    <t>Vincent Ribouleau attending</t>
  </si>
  <si>
    <t>ACT-020</t>
  </si>
  <si>
    <t>Book flights YQB→Houston for Vincent, confirm hotel near George R. Brown</t>
  </si>
  <si>
    <t>Ekoscan BU manages logistics — coordinate only · ~$820 return CAD</t>
  </si>
  <si>
    <t>ACT-021</t>
  </si>
  <si>
    <t>3X Composite</t>
  </si>
  <si>
    <t>Identify storage tank + pipeline operators for 3X repair cross-sell at AMPP</t>
  </si>
  <si>
    <t>Embed 3X in every AMBER/RED finding convo</t>
  </si>
  <si>
    <t>ACT-022</t>
  </si>
  <si>
    <t>Apr</t>
  </si>
  <si>
    <t>CNA 2026</t>
  </si>
  <si>
    <t>CNA Ottawa — prepare Nuclear/OPG strategy brief for Olivier + Jon + LP</t>
  </si>
  <si>
    <t>2026-03-30</t>
  </si>
  <si>
    <t>Largest initiative $47.9M — must be strategic</t>
  </si>
  <si>
    <t>ACT-023</t>
  </si>
  <si>
    <t>Book flights YQB→Ottawa for Oli, Jon, LP, Sha (short drive or flight)</t>
  </si>
  <si>
    <t>2026-03-01</t>
  </si>
  <si>
    <t>Ottawa ~4h drive from QC City or direct flight</t>
  </si>
  <si>
    <t>ACT-024</t>
  </si>
  <si>
    <t>Book ARC Hotel Ottawa — 4 nights × 4 people</t>
  </si>
  <si>
    <t>ACT-025</t>
  </si>
  <si>
    <t>Pre-schedule 1:1 meetings with CNA member utilities and OPG procurement contacts</t>
  </si>
  <si>
    <t>2026-03-20</t>
  </si>
  <si>
    <t>Gate decision: OPG MSA — requires CNA relationship</t>
  </si>
  <si>
    <t>ACT-026</t>
  </si>
  <si>
    <t>CGSB certification status update — confirm team qualifications for OPG outage work</t>
  </si>
  <si>
    <t>LP to confirm all certs current</t>
  </si>
  <si>
    <t>ACT-027</t>
  </si>
  <si>
    <t>Smart Energy Halifax</t>
  </si>
  <si>
    <t>LOW</t>
  </si>
  <si>
    <t>Powerline</t>
  </si>
  <si>
    <t>Walkin only — confirm attendees Alex, Eric, Vinoth + register badges</t>
  </si>
  <si>
    <t>No booth — networking only</t>
  </si>
  <si>
    <t>ACT-028</t>
  </si>
  <si>
    <t>Identify Hydro One, Emera, Nova Scotia Power contacts attending Halifax</t>
  </si>
  <si>
    <t>2026-04-01</t>
  </si>
  <si>
    <t>Powerline initiative prospecting</t>
  </si>
  <si>
    <t>ACT-029</t>
  </si>
  <si>
    <t>May</t>
  </si>
  <si>
    <t>T&amp;D Conference</t>
  </si>
  <si>
    <t>MED</t>
  </si>
  <si>
    <t>Book flights YQB→Chicago for Math + Sha — return ~$680 CAD each</t>
  </si>
  <si>
    <t>Register for T&amp;D conference passes</t>
  </si>
  <si>
    <t>ACT-030</t>
  </si>
  <si>
    <t>T&amp;D prep: Powerline initiative deck + Hydro One/AltaLink/ATCO target list</t>
  </si>
  <si>
    <t>2026-04-15</t>
  </si>
  <si>
    <t>$10.2M initiative — primary dedicated show</t>
  </si>
  <si>
    <t>ACT-031</t>
  </si>
  <si>
    <t>Post-show: enter Powerline prospects in Salesforce — tag BU_Initiative__c = Powerline</t>
  </si>
  <si>
    <t>2026-05-10</t>
  </si>
  <si>
    <t>ACT-032</t>
  </si>
  <si>
    <t>CIM Vancouver</t>
  </si>
  <si>
    <t>CIM Vancouver — register walkin badges for Vinoth + Max</t>
  </si>
  <si>
    <t>Walkin only — technical paper TBC</t>
  </si>
  <si>
    <t>ACT-033</t>
  </si>
  <si>
    <t>Submit technical paper abstract if deadline not passed — confirm with organizer</t>
  </si>
  <si>
    <t>Speaker slot = credibility boost</t>
  </si>
  <si>
    <t>ACT-034</t>
  </si>
  <si>
    <t>BC mining target list: Teck, Copper Mountain, Highland Valley — pre-book meetings</t>
  </si>
  <si>
    <t>West coast mining focus</t>
  </si>
  <si>
    <t>ACT-035</t>
  </si>
  <si>
    <t>Jun</t>
  </si>
  <si>
    <t>ECNDT Verona</t>
  </si>
  <si>
    <t>ECNDT prep: coordinate EIG + Nucleom joint messaging and booth strategy</t>
  </si>
  <si>
    <t>2026-05-01</t>
  </si>
  <si>
    <t>Largest EIG NDT presence of the year</t>
  </si>
  <si>
    <t>ACT-036</t>
  </si>
  <si>
    <t>Joint</t>
  </si>
  <si>
    <t>Book flights YQB→Milan/Verona for Xavier, Guillaume, Lucy, Hervé, Fabian</t>
  </si>
  <si>
    <t>Return ~$1,900 CAD each — book early</t>
  </si>
  <si>
    <t>ACT-037</t>
  </si>
  <si>
    <t>Book hotel Verona — 6 nights × 5 people (~$310/night)</t>
  </si>
  <si>
    <t>Book early — Verona fills up for ECNDT</t>
  </si>
  <si>
    <t>ACT-038</t>
  </si>
  <si>
    <t>Ship booth materials (international freight) — allow 3 weeks lead time</t>
  </si>
  <si>
    <t>2026-05-25</t>
  </si>
  <si>
    <t>Consider Pelican carry-on for key displays</t>
  </si>
  <si>
    <t>ACT-039</t>
  </si>
  <si>
    <t>Pre-schedule meetings with European mining + nuclear operators at ECNDT</t>
  </si>
  <si>
    <t>2026-05-15</t>
  </si>
  <si>
    <t>Global account development</t>
  </si>
  <si>
    <t>ACT-040</t>
  </si>
  <si>
    <t>Canadian Mining Expo</t>
  </si>
  <si>
    <t>PURSUE WAITLIST actively — contact organizer re: speaker slot availability</t>
  </si>
  <si>
    <t>Currently on waitlist — speaker = priority entry</t>
  </si>
  <si>
    <t>ACT-041</t>
  </si>
  <si>
    <t>Book flights YQB→Timmins for Keith + speaker (once confirmed off waitlist)</t>
  </si>
  <si>
    <t>Regional connection via Toronto ~$580 CAD</t>
  </si>
  <si>
    <t>ACT-042</t>
  </si>
  <si>
    <t>Timmins target accounts: Vale Timmins, Kinross, Pan American Silver</t>
  </si>
  <si>
    <t>Northern Ontario mining corridor</t>
  </si>
  <si>
    <t>ACT-043</t>
  </si>
  <si>
    <t>Jul</t>
  </si>
  <si>
    <t>API Inspection Summit</t>
  </si>
  <si>
    <t>COORDINATE with Ekoscan BU — combine booth, split cost, unified message</t>
  </si>
  <si>
    <t>Both teams attending separately — consolidate saves ~$12K</t>
  </si>
  <si>
    <t>ACT-044</t>
  </si>
  <si>
    <t>Book flights YQB→San Antonio for Keith, Tim, Alex</t>
  </si>
  <si>
    <t>Return ~$880 CAD each</t>
  </si>
  <si>
    <t>ACT-045</t>
  </si>
  <si>
    <t>Book hotel — San Antonio convention area, 5 nights</t>
  </si>
  <si>
    <t>~$310/night premium convention hotel</t>
  </si>
  <si>
    <t>ACT-046</t>
  </si>
  <si>
    <t>API show prep: Pipeline DA + 3X + Base Business target list — US operators</t>
  </si>
  <si>
    <t>2026-06-20</t>
  </si>
  <si>
    <t>Major US pipeline operators in attendance</t>
  </si>
  <si>
    <t>ACT-047</t>
  </si>
  <si>
    <t>Post-show Salesforce entry — all Pipeline DA + 3X opps within 48h</t>
  </si>
  <si>
    <t>2026-07-27</t>
  </si>
  <si>
    <t>ACT-048</t>
  </si>
  <si>
    <t>Aug</t>
  </si>
  <si>
    <t>Cigre Paris</t>
  </si>
  <si>
    <t>Book flights YQB→Paris CDG for Math +1 — book 6+ months ahead for best rate</t>
  </si>
  <si>
    <t>Return ~$1,850 CAD — book early</t>
  </si>
  <si>
    <t>ACT-049</t>
  </si>
  <si>
    <t>Book hotel Paris — 7 nights × 2 people, near Palais des Congrès</t>
  </si>
  <si>
    <t>~$310/night</t>
  </si>
  <si>
    <t>ACT-050</t>
  </si>
  <si>
    <t>Cigre prep: T&amp;D / Powerline initiative follow-up from T&amp;D Chicago contacts</t>
  </si>
  <si>
    <t>2026-07-30</t>
  </si>
  <si>
    <t>Global T&amp;D relationships — EIG alignment</t>
  </si>
  <si>
    <t>ACT-051</t>
  </si>
  <si>
    <t>Sep</t>
  </si>
  <si>
    <t>IPC Pipeline Conf.</t>
  </si>
  <si>
    <t>IPC is Canada's premier pipeline show — confirm Nucleom booth, brief Max + Vinoth</t>
  </si>
  <si>
    <t>2026-07-01</t>
  </si>
  <si>
    <t>$30M initiative — Rick Carlton anchor event</t>
  </si>
  <si>
    <t>ACT-052</t>
  </si>
  <si>
    <t>Book flights YQB→Calgary for Max, Vinoth (or Rick)</t>
  </si>
  <si>
    <t>2026-06-01</t>
  </si>
  <si>
    <t>Return ~$620 CAD</t>
  </si>
  <si>
    <t>ACT-053</t>
  </si>
  <si>
    <t>Book hotel Calgary — BMO Centre area, 6 nights</t>
  </si>
  <si>
    <t>ACT-054</t>
  </si>
  <si>
    <t>IPC technical paper submission — Pipeline DA data analytics angle</t>
  </si>
  <si>
    <t>2026-06-15</t>
  </si>
  <si>
    <t>Speaker slot = Pipeline DA credibility</t>
  </si>
  <si>
    <t>ACT-055</t>
  </si>
  <si>
    <t>Post-IPC: update pipeline opportunity pipeline in Salesforce — all new contacts</t>
  </si>
  <si>
    <t>2026-09-28</t>
  </si>
  <si>
    <t>ACT-056</t>
  </si>
  <si>
    <t>IPCE Pipeline Expo</t>
  </si>
  <si>
    <t>Coordinate IPC + IPCE back to back — same Calgary trip where possible</t>
  </si>
  <si>
    <t>Back-to-back Calgary shows — maximize trip</t>
  </si>
  <si>
    <t>ACT-057</t>
  </si>
  <si>
    <t>CEN CAN Expo</t>
  </si>
  <si>
    <t>Book flights YQB→Thunder Bay + hotel — 2 nights regional</t>
  </si>
  <si>
    <t>2026-07-15</t>
  </si>
  <si>
    <t>~$560 return, ~$185/night regional</t>
  </si>
  <si>
    <t>ACT-058</t>
  </si>
  <si>
    <t>Thunder Bay target accounts: Goldcorp/Newmont Musselwhite, Resolute Mining</t>
  </si>
  <si>
    <t>2026-08-15</t>
  </si>
  <si>
    <t>Northwestern Ontario mining</t>
  </si>
  <si>
    <t>ACT-059</t>
  </si>
  <si>
    <t>Oct</t>
  </si>
  <si>
    <t>ASNT 2026</t>
  </si>
  <si>
    <t>ASNT Columbus — largest NDT show N.America — confirm 400sqft booth strategy</t>
  </si>
  <si>
    <t>$15K+ booth — needs senior sign-off</t>
  </si>
  <si>
    <t>ACT-060</t>
  </si>
  <si>
    <t>Book flights YQB→Columbus for 4 attendees — book by August</t>
  </si>
  <si>
    <t>2026-08-01</t>
  </si>
  <si>
    <t>Return ~$780 CAD each</t>
  </si>
  <si>
    <t>ACT-061</t>
  </si>
  <si>
    <t>Ship booth — allow 3 weeks, 400sqft requires significant freight planning</t>
  </si>
  <si>
    <t>2026-09-20</t>
  </si>
  <si>
    <t>Largest booth of the year — plan carefully</t>
  </si>
  <si>
    <t>ACT-063</t>
  </si>
  <si>
    <t>ASNT attendee list review — pre-book meetings with top 10 mining + nuclear contacts</t>
  </si>
  <si>
    <t>ACT-064</t>
  </si>
  <si>
    <t>API Storage Tank</t>
  </si>
  <si>
    <t>MED-H</t>
  </si>
  <si>
    <t>API Storage Tank — coordinate with Ekoscan if duplicate attendance</t>
  </si>
  <si>
    <t>Check for consolidation opportunity</t>
  </si>
  <si>
    <t>ACT-065</t>
  </si>
  <si>
    <t>Ongoing</t>
  </si>
  <si>
    <t>ALL SHOWS</t>
  </si>
  <si>
    <t>All</t>
  </si>
  <si>
    <t>Admin</t>
  </si>
  <si>
    <t>Update conference budget actuals monthly — compare to model in Excel tracker</t>
  </si>
  <si>
    <t>Monthly</t>
  </si>
  <si>
    <t>First Monday of each month</t>
  </si>
  <si>
    <t>ACT-067</t>
  </si>
  <si>
    <t>—</t>
  </si>
  <si>
    <t>Salesforce entry rule: all leads entered within 48h of return, BU_Initiative__c tagged</t>
  </si>
  <si>
    <t>After each show</t>
  </si>
  <si>
    <t>Non-negotiable — feeds Sunday PA flow</t>
  </si>
  <si>
    <t>ACT-068</t>
  </si>
  <si>
    <t>Quarterly conference budget vs actual review with Mathieu (EVP)</t>
  </si>
  <si>
    <t>Quarterly</t>
  </si>
  <si>
    <t>Q2: Apr 15 · Q3: Jul 15 · Q4: Oct 15</t>
  </si>
  <si>
    <t>ACT-069</t>
  </si>
  <si>
    <t>Post-show pipeline review — verify Salesforce capture and follow-up cadence</t>
  </si>
  <si>
    <t>Commercial Leadership meeting agenda item</t>
  </si>
  <si>
    <t>ACT-070</t>
  </si>
  <si>
    <t>NUCLEAR GAP: identify and add one dedicated Nuclear/OPG event (CANDU Owners Group, OPG Supplier Day)</t>
  </si>
  <si>
    <t>2026-02-01</t>
  </si>
  <si>
    <t>$47.9M initiative needs more dedicated coverage</t>
  </si>
  <si>
    <t>ACT-071</t>
  </si>
  <si>
    <t>POWERLINE GAP: identify one Canadian utility-focused conference to add (CEATI, Hydro One Supplier Forum)</t>
  </si>
  <si>
    <t>$10.2M initiative — only T&amp;D Chicago currently</t>
  </si>
  <si>
    <t>ACT-072</t>
  </si>
  <si>
    <t xml:space="preserve">  TOTAL ACTIONS: 72  ·  Complete: 0 of 72</t>
  </si>
  <si>
    <t>CONFERENCE ACTION PLAN — PROGRESS DASHBOARD 2026</t>
  </si>
  <si>
    <t>STATUS SUMMARY (auto-updates as you mark items complete in Action Tracker)</t>
  </si>
  <si>
    <t>Total Actions</t>
  </si>
  <si>
    <t>ACTIONS BY OWNER</t>
  </si>
  <si>
    <t>Total</t>
  </si>
  <si>
    <t>% Done</t>
  </si>
  <si>
    <t>BU Services logistics (Nucleom/Nortech staff only). Shanny is NOT responsible for Ekoscan BU shows.</t>
  </si>
  <si>
    <t>ACTIONS BY MONTH</t>
  </si>
  <si>
    <t>Upcoming Conferences</t>
  </si>
  <si>
    <t>IPEIA · AMPP</t>
  </si>
  <si>
    <t>CNA · Smart Energy Halifax</t>
  </si>
  <si>
    <t>T&amp;D · CIM Vancouver</t>
  </si>
  <si>
    <t>ECNDT Verona · Canadian Mining Expo</t>
  </si>
  <si>
    <t>IPC Pipeline · IPCE · CEN CAN Expo</t>
  </si>
  <si>
    <t>ASNT · API Storage Tank</t>
  </si>
  <si>
    <t>Year-round standing items</t>
  </si>
  <si>
    <t>BU SERVICES — 2026 CONFERENCE CALENDAR AT A GLANCE</t>
  </si>
  <si>
    <t>Dates</t>
  </si>
  <si>
    <t>Location</t>
  </si>
  <si>
    <t># People</t>
  </si>
  <si>
    <t>BU Attendees</t>
  </si>
  <si>
    <t>Booth?</t>
  </si>
  <si>
    <t>Actions Due</t>
  </si>
  <si>
    <t>Est. Cost</t>
  </si>
  <si>
    <t>Approval
Decision</t>
  </si>
  <si>
    <t>Jon's Notes /
Rationale</t>
  </si>
  <si>
    <t>Budget
Impact (CAD)</t>
  </si>
  <si>
    <t>Logistics
Owner</t>
  </si>
  <si>
    <t>Responsible
Person</t>
  </si>
  <si>
    <t>Scope Note</t>
  </si>
  <si>
    <t>Total Actual
(CAD)</t>
  </si>
  <si>
    <t>January</t>
  </si>
  <si>
    <t>Jan 19-22</t>
  </si>
  <si>
    <t>Houston TX</t>
  </si>
  <si>
    <t>Jeff · Anthony · Aaron</t>
  </si>
  <si>
    <t>✓</t>
  </si>
  <si>
    <t>Pending</t>
  </si>
  <si>
    <t>Ekoscan Logistics Team</t>
  </si>
  <si>
    <t>Ekoscan manages logistics — Shanny NOT responsible</t>
  </si>
  <si>
    <t>February</t>
  </si>
  <si>
    <t>Feb 17-19</t>
  </si>
  <si>
    <t>Las Vegas NV</t>
  </si>
  <si>
    <t>Dillon · Jeff · Fred · Guillaume · Anthony</t>
  </si>
  <si>
    <t>March</t>
  </si>
  <si>
    <t>Mar 10-12</t>
  </si>
  <si>
    <t>Calgary AB</t>
  </si>
  <si>
    <t>Max · Keith · Tim · Alex · Rick · Marcos</t>
  </si>
  <si>
    <t>Shanny Tremblay handles all logistics for Nucleom/Nortech staff</t>
  </si>
  <si>
    <t>Mar 15-19</t>
  </si>
  <si>
    <t>Pipeline DA · 3X</t>
  </si>
  <si>
    <t>Vincent Ribouleau</t>
  </si>
  <si>
    <t>April</t>
  </si>
  <si>
    <t>Apr 28-30</t>
  </si>
  <si>
    <t>Ottawa ON</t>
  </si>
  <si>
    <t>Oli · Jon · LP · Sha</t>
  </si>
  <si>
    <t>Apr 14-15</t>
  </si>
  <si>
    <t>Halifax NS</t>
  </si>
  <si>
    <t>Alex · Eric · Vinoth</t>
  </si>
  <si>
    <t>May 4-7</t>
  </si>
  <si>
    <t>Chicago IL</t>
  </si>
  <si>
    <t>Math · Sha</t>
  </si>
  <si>
    <t>May 4-6</t>
  </si>
  <si>
    <t>Vancouver BC</t>
  </si>
  <si>
    <t>Vinoth · Max</t>
  </si>
  <si>
    <t>June</t>
  </si>
  <si>
    <t>Jun 15-19</t>
  </si>
  <si>
    <t>Verona Italy</t>
  </si>
  <si>
    <t>Xavier · Guillaume · Lucy · Hervé · Fabian</t>
  </si>
  <si>
    <t>Ekoscan + Shanny Tremblay</t>
  </si>
  <si>
    <t>Coordinate between Ekoscan team and Shanny Tremblay</t>
  </si>
  <si>
    <t>Jun 9-11</t>
  </si>
  <si>
    <t>Timmins ON</t>
  </si>
  <si>
    <t>Keith · Speaker</t>
  </si>
  <si>
    <t>July</t>
  </si>
  <si>
    <t>Jul 20-23</t>
  </si>
  <si>
    <t>San Antonio TX</t>
  </si>
  <si>
    <t>Keith · Tim · Alex</t>
  </si>
  <si>
    <t>August</t>
  </si>
  <si>
    <t>Aug 23-28</t>
  </si>
  <si>
    <t>Paris France</t>
  </si>
  <si>
    <t>Math +1</t>
  </si>
  <si>
    <t>September</t>
  </si>
  <si>
    <t>Sep 21-25</t>
  </si>
  <si>
    <t>Max · Vinoth</t>
  </si>
  <si>
    <t>Sep 22-24</t>
  </si>
  <si>
    <t>Sep 9-10</t>
  </si>
  <si>
    <t>Thunder Bay ON</t>
  </si>
  <si>
    <t>TBD ×2</t>
  </si>
  <si>
    <t>October</t>
  </si>
  <si>
    <t>Oct 12-15</t>
  </si>
  <si>
    <t>Columbus OH</t>
  </si>
  <si>
    <t>TBD ×4</t>
  </si>
  <si>
    <t>API Storage Tank Expo</t>
  </si>
  <si>
    <t>Oct 19-22</t>
  </si>
  <si>
    <t>Austin TX</t>
  </si>
  <si>
    <t>Keith · Tim</t>
  </si>
  <si>
    <t>November</t>
  </si>
  <si>
    <t>API Insp. Summit (EIG)</t>
  </si>
  <si>
    <t>Nov TBC</t>
  </si>
  <si>
    <t>TBD — coordinate w/ Ekoscan</t>
  </si>
  <si>
    <t>COFREND Lyon</t>
  </si>
  <si>
    <t>May 19-21</t>
  </si>
  <si>
    <t>Lyon France</t>
  </si>
  <si>
    <t>Base Business</t>
  </si>
  <si>
    <t>Guillaume N · Guillaume P + team</t>
  </si>
  <si>
    <t xml:space="preserve">  TOTAL — 19 conferences · 59 person-attendances</t>
  </si>
  <si>
    <t xml:space="preserve">  APPROVED BUDGET</t>
  </si>
  <si>
    <t xml:space="preserve">  ON HOLD BUDGET</t>
  </si>
  <si>
    <t xml:space="preserve">  REJECTED BUDGET</t>
  </si>
  <si>
    <t xml:space="preserve">  PENDING BUDGET</t>
  </si>
  <si>
    <t>HOW TO USE: Open the HTML Conference Action Plan portal in Chrome → review each conference card → click ✓ Approve, ⏸ Hold, or ✗ Reject. Click 'Export Approvals' → copy → paste Jon's notes into Col N here. Change Col M dropdown to match decisions. Budget totals update automatically. Conditional formatting shows green/amber/red by status.</t>
  </si>
  <si>
    <t xml:space="preserve">  ★  SHANNY'S JOB: After each BU Services conference → open this file → find the conference row → enter the total actual cost (from invoices) into Col S (Total Actual). Col S is the master cost record for the Command Centre and Jeremy's quarterly review. The detailed cost breakdown (flights/hotels/booth etc.) goes in Action Tracker tab Col J. NOT responsible for: PPIM · NDTMA · AMPP · COFREND · API Insp. Summit (EIG) — these are Ekoscan BU shows.</t>
  </si>
  <si>
    <t>BU SERVICES — 2026 CONFERENCE ATTENDEE ACTION PLAN · LEADS &amp; OPPORTUNITIES</t>
  </si>
  <si>
    <t>Track every lead, opportunity, and follow-up from every conference. Enter within 48h of return. Mandatory: Salesforce entry + BU_Initiative__c tag for every row. Nucleom/Nortech staff ONLY — Shanny Tremblay coordinates BU Services shows.</t>
  </si>
  <si>
    <t>Lead Quality:</t>
  </si>
  <si>
    <t>HOT</t>
  </si>
  <si>
    <t>WARM</t>
  </si>
  <si>
    <t>COLD</t>
  </si>
  <si>
    <t>Opp Stage:</t>
  </si>
  <si>
    <t>Qualifying</t>
  </si>
  <si>
    <t>Proposing</t>
  </si>
  <si>
    <t>Negotiating</t>
  </si>
  <si>
    <t>Won ✓</t>
  </si>
  <si>
    <t>Lost ✗</t>
  </si>
  <si>
    <t>Attendee
(Our Person)</t>
  </si>
  <si>
    <t>Contact Name
(Lead/Prospect)</t>
  </si>
  <si>
    <t>Title / Company</t>
  </si>
  <si>
    <t>Lead Source</t>
  </si>
  <si>
    <t>Lead
Quality</t>
  </si>
  <si>
    <t>Initiative
Tag</t>
  </si>
  <si>
    <t>Opp
Created?</t>
  </si>
  <si>
    <t>Opp Value
(CAD est.)</t>
  </si>
  <si>
    <t>Opp Stage</t>
  </si>
  <si>
    <t>Follow-up
Date</t>
  </si>
  <si>
    <t>Follow-up
Owner</t>
  </si>
  <si>
    <t>Follow-up
Done?</t>
  </si>
  <si>
    <t>Salesforce
Entry</t>
  </si>
  <si>
    <t>Notes / Context</t>
  </si>
  <si>
    <t xml:space="preserve">  IPEIA 2026 ⭐  ·  Mar 10-12  ·  Calgary AB  ·  All Initiatives  ·  HIGH  ·  Logistics: BU Services</t>
  </si>
  <si>
    <t>IPEIA 2026 ⭐</t>
  </si>
  <si>
    <t>IPEIA 2026 ⭐ Booth</t>
  </si>
  <si>
    <t>TBD</t>
  </si>
  <si>
    <t>Keith</t>
  </si>
  <si>
    <t>Tim</t>
  </si>
  <si>
    <t>Marcos</t>
  </si>
  <si>
    <t xml:space="preserve">  ↳ Add rows here for additional contacts met at this conference</t>
  </si>
  <si>
    <t xml:space="preserve">  CNA 2026  ·  Apr 28-30  ·  Ottawa ON  ·  Nuclear/OPG  ·  HIGH  ·  Logistics: BU Services</t>
  </si>
  <si>
    <t>CNA 2026 Booth</t>
  </si>
  <si>
    <t xml:space="preserve">  T&amp;D Conference  ·  May 4-7  ·  Chicago IL  ·  Powerline  ·  MED  ·  Logistics: BU Services</t>
  </si>
  <si>
    <t>T&amp;D Conference Booth</t>
  </si>
  <si>
    <t xml:space="preserve">  CIM Vancouver  ·  May 4-6  ·  Vancouver BC  ·  Mining NDT  ·  MED  ·  Logistics: BU Services</t>
  </si>
  <si>
    <t>CIM Vancouver Booth</t>
  </si>
  <si>
    <t xml:space="preserve">  Canadian Mining Expo  ·  Jun 9-11  ·  Timmins ON  ·  Mining NDT  ·  MED  ·  Logistics: BU Services</t>
  </si>
  <si>
    <t>Canadian Mining Expo Booth</t>
  </si>
  <si>
    <t>TBD Speaker</t>
  </si>
  <si>
    <t xml:space="preserve">  ECNDT Verona  ·  Jun 15-19  ·  Verona Italy  ·  All Initiatives  ·  HIGH  ·  Logistics: Joint</t>
  </si>
  <si>
    <t>Xavier</t>
  </si>
  <si>
    <t>ECNDT Verona Booth</t>
  </si>
  <si>
    <t>Guillaume N</t>
  </si>
  <si>
    <t>Lucy</t>
  </si>
  <si>
    <t>Hervé</t>
  </si>
  <si>
    <t>Fabian</t>
  </si>
  <si>
    <t xml:space="preserve">  API Inspection Summit  ·  Jul 20-23  ·  San Antonio TX  ·  Pipeline DA  ·  HIGH  ·  Logistics: BU Services</t>
  </si>
  <si>
    <t>API Inspection Summit Booth</t>
  </si>
  <si>
    <t xml:space="preserve">  Cigre Paris  ·  Aug 23-28  ·  Paris France  ·  Powerline  ·  MED  ·  Logistics: BU Services</t>
  </si>
  <si>
    <t>Cigre Paris Booth</t>
  </si>
  <si>
    <t xml:space="preserve">  CEN CAN Expo  ·  Sep 9-10  ·  Thunder Bay ON  ·  Mining NDT  ·  MED  ·  Logistics: BU Services</t>
  </si>
  <si>
    <t>CEN CAN Expo Booth</t>
  </si>
  <si>
    <t xml:space="preserve">  IPC Pipeline Conf.  ·  Sep 21-25  ·  Calgary AB  ·  Pipeline DA  ·  HIGH  ·  Logistics: BU Services</t>
  </si>
  <si>
    <t>IPC Pipeline Conf. Booth</t>
  </si>
  <si>
    <t xml:space="preserve">  IPCE Pipeline Expo  ·  Sep 22-24  ·  Calgary AB  ·  Pipeline DA  ·  HIGH  ·  Logistics: BU Services</t>
  </si>
  <si>
    <t>IPCE Pipeline Expo Booth</t>
  </si>
  <si>
    <t xml:space="preserve">  ASNT 2026  ·  Oct 12-15  ·  Columbus OH  ·  Mining NDT  ·  HIGH  ·  Logistics: Joint</t>
  </si>
  <si>
    <t>ASNT 2026 Booth</t>
  </si>
  <si>
    <t xml:space="preserve">  API Storage Tank Expo  ·  Oct 19-22  ·  Austin TX  ·  Pipeline DA  ·  MED-H  ·  Logistics: BU Services</t>
  </si>
  <si>
    <t>API Storage Tank Expo Booth</t>
  </si>
  <si>
    <t xml:space="preserve">  TOTALS (rows 7–79)  ·  All conferences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</si>
</sst>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
    <numFmt numFmtId="166" formatCode="\$#,##0;\-"/>
    <numFmt numFmtId="167" formatCode="yyyy\-mm\-dd"/>
  </numFmts>
  <fonts count="64" x14ac:knownFonts="1">
    <font>
      <sz val="11"/>
      <color theme="1"/>
      <name val="Calibri"/>
      <family val="2"/>
      <charset val="1"/>
    </font>
    <font>
      <b/>
      <sz val="14"/>
      <color rgb="FFFFFFFF"/>
      <name val="Calibri"/>
      <charset val="1"/>
    </font>
    <font>
      <i/>
      <sz val="9"/>
      <color rgb="FF6678A0"/>
      <name val="Calibri"/>
      <charset val="1"/>
    </font>
    <font>
      <b/>
      <sz val="11"/>
      <color rgb="FFFFFFFF"/>
      <name val="Calibri"/>
      <charset val="1"/>
    </font>
    <font>
      <i/>
      <sz val="8"/>
      <color rgb="FF6678A0"/>
      <name val="Calibri"/>
      <charset val="1"/>
    </font>
    <font>
      <b/>
      <sz val="9"/>
      <color rgb="FF0A1F5C"/>
      <name val="Calibri"/>
      <charset val="1"/>
    </font>
    <font>
      <sz val="9"/>
      <color rgb="FF1A2A4A"/>
      <name val="Calibri"/>
      <charset val="1"/>
    </font>
    <font>
      <b/>
      <sz val="10"/>
      <color rgb="FF16A34A"/>
      <name val="Calibri"/>
      <charset val="1"/>
    </font>
    <font>
      <b/>
      <sz val="10"/>
      <color rgb="FF1A5CA8"/>
      <name val="Calibri"/>
      <charset val="1"/>
    </font>
    <font>
      <b/>
      <sz val="10"/>
      <color rgb="FFC9860A"/>
      <name val="Calibri"/>
      <charset val="1"/>
    </font>
    <font>
      <b/>
      <sz val="10"/>
      <color rgb="FF0A1F5C"/>
      <name val="Calibri"/>
      <charset val="1"/>
    </font>
    <font>
      <b/>
      <sz val="10"/>
      <color rgb="FFB91C1C"/>
      <name val="Calibri"/>
      <charset val="1"/>
    </font>
    <font>
      <b/>
      <sz val="10"/>
      <color rgb="FF6D28D9"/>
      <name val="Calibri"/>
      <charset val="1"/>
    </font>
    <font>
      <b/>
      <sz val="10"/>
      <color rgb="FF6678A0"/>
      <name val="Calibri"/>
      <charset val="1"/>
    </font>
    <font>
      <i/>
      <sz val="9"/>
      <color rgb="FF1A5CA8"/>
      <name val="Calibri"/>
      <charset val="1"/>
    </font>
    <font>
      <b/>
      <sz val="9"/>
      <color rgb="FF1A5CA8"/>
      <name val="Calibri"/>
      <charset val="1"/>
    </font>
    <font>
      <b/>
      <sz val="10"/>
      <color rgb="FFFFFFFF"/>
      <name val="Calibri"/>
      <charset val="1"/>
    </font>
    <font>
      <b/>
      <sz val="9"/>
      <color rgb="FF0D5050"/>
      <name val="Calibri"/>
      <charset val="1"/>
    </font>
    <font>
      <b/>
      <sz val="9"/>
      <color rgb="FF6D28D9"/>
      <name val="Calibri"/>
      <charset val="1"/>
    </font>
    <font>
      <b/>
      <sz val="9"/>
      <color rgb="FFFFFFFF"/>
      <name val="Calibri"/>
      <charset val="1"/>
    </font>
    <font>
      <b/>
      <sz val="8"/>
      <color rgb="FF16A34A"/>
      <name val="Calibri"/>
      <charset val="1"/>
    </font>
    <font>
      <sz val="8"/>
      <color rgb="FF1A5CA8"/>
      <name val="Calibri"/>
      <charset val="1"/>
    </font>
    <font>
      <b/>
      <sz val="8"/>
      <color rgb="FFC9860A"/>
      <name val="Calibri"/>
      <charset val="1"/>
    </font>
    <font>
      <sz val="8"/>
      <color rgb="FF00547A"/>
      <name val="Calibri"/>
      <charset val="1"/>
    </font>
    <font>
      <sz val="9"/>
      <color rgb="FF6678A0"/>
      <name val="Calibri"/>
      <charset val="1"/>
    </font>
    <font>
      <b/>
      <sz val="8"/>
      <color rgb="FFB91C1C"/>
      <name val="Calibri"/>
      <charset val="1"/>
    </font>
    <font>
      <sz val="9"/>
      <color rgb="FF0000FF"/>
      <name val="Calibri"/>
      <charset val="1"/>
    </font>
    <font>
      <sz val="8"/>
      <color rgb="FF000000"/>
      <name val="Calibri"/>
      <charset val="1"/>
    </font>
    <font>
      <b/>
      <sz val="8"/>
      <color rgb="FF1A5CA8"/>
      <name val="Calibri"/>
      <charset val="1"/>
    </font>
    <font>
      <sz val="8"/>
      <color rgb="FF0A1F5C"/>
      <name val="Calibri"/>
      <charset val="1"/>
    </font>
    <font>
      <b/>
      <sz val="8"/>
      <color rgb="FF00547A"/>
      <name val="Calibri"/>
      <charset val="1"/>
    </font>
    <font>
      <b/>
      <sz val="8"/>
      <color rgb="FF0D5050"/>
      <name val="Calibri"/>
      <charset val="1"/>
    </font>
    <font>
      <sz val="8"/>
      <color rgb="FF6D28D9"/>
      <name val="Calibri"/>
      <charset val="1"/>
    </font>
    <font>
      <b/>
      <sz val="8"/>
      <color rgb="FF6D28D9"/>
      <name val="Calibri"/>
      <charset val="1"/>
    </font>
    <font>
      <sz val="8"/>
      <color rgb="FF16A34A"/>
      <name val="Calibri"/>
      <charset val="1"/>
    </font>
    <font>
      <b/>
      <sz val="8"/>
      <color rgb="FF0A1F5C"/>
      <name val="Calibri"/>
      <charset val="1"/>
    </font>
    <font>
      <b/>
      <sz val="8"/>
      <color rgb="FF6678A0"/>
      <name val="Calibri"/>
      <charset val="1"/>
    </font>
    <font>
      <sz val="8"/>
      <color rgb="FFC9860A"/>
      <name val="Calibri"/>
      <charset val="1"/>
    </font>
    <font>
      <sz val="8"/>
      <color rgb="FF6678A0"/>
      <name val="Calibri"/>
      <charset val="1"/>
    </font>
    <font>
      <b/>
      <sz val="10"/>
      <color rgb="FF00AEEF"/>
      <name val="Calibri"/>
      <charset val="1"/>
    </font>
    <font>
      <b/>
      <sz val="9"/>
      <color rgb="FF00AEEF"/>
      <name val="Calibri"/>
      <charset val="1"/>
    </font>
    <font>
      <b/>
      <sz val="13"/>
      <color rgb="FFFFFFFF"/>
      <name val="Calibri"/>
      <charset val="1"/>
    </font>
    <font>
      <b/>
      <sz val="20"/>
      <color rgb="FFFFFFFF"/>
      <name val="Calibri"/>
      <charset val="1"/>
    </font>
    <font>
      <sz val="9"/>
      <color rgb="FFB91C1C"/>
      <name val="Calibri"/>
      <charset val="1"/>
    </font>
    <font>
      <sz val="9"/>
      <color rgb="FFC9860A"/>
      <name val="Calibri"/>
      <charset val="1"/>
    </font>
    <font>
      <sz val="9"/>
      <color rgb="FF16A34A"/>
      <name val="Calibri"/>
      <charset val="1"/>
    </font>
    <font>
      <sz val="9"/>
      <color rgb="FF6D28D9"/>
      <name val="Calibri"/>
      <charset val="1"/>
    </font>
    <font>
      <b/>
      <sz val="9"/>
      <color rgb="FF16A34A"/>
      <name val="Calibri"/>
      <charset val="1"/>
    </font>
    <font>
      <b/>
      <sz val="9"/>
      <color rgb="FF00547A"/>
      <name val="Calibri"/>
      <charset val="1"/>
    </font>
    <font>
      <b/>
      <sz val="9"/>
      <color rgb="FFC9860A"/>
      <name val="Calibri"/>
      <charset val="1"/>
    </font>
    <font>
      <b/>
      <sz val="9"/>
      <color rgb="FF6678A0"/>
      <name val="Calibri"/>
      <charset val="1"/>
    </font>
    <font>
      <sz val="9"/>
      <color rgb="FF0A1F5C"/>
      <name val="Calibri"/>
      <charset val="1"/>
    </font>
    <font>
      <b/>
      <sz val="10"/>
      <color rgb="FF00547A"/>
      <name val="Calibri"/>
      <charset val="1"/>
    </font>
    <font>
      <b/>
      <sz val="10"/>
      <color rgb="FF0D5050"/>
      <name val="Calibri"/>
      <charset val="1"/>
    </font>
    <font>
      <sz val="8"/>
      <color rgb="FF1A2A4A"/>
      <name val="Calibri"/>
      <charset val="1"/>
    </font>
    <font>
      <sz val="8"/>
      <color rgb="FF4B5563"/>
      <name val="Calibri"/>
      <charset val="1"/>
    </font>
    <font>
      <sz val="9"/>
      <color rgb="FF000000"/>
      <name val="Calibri"/>
      <charset val="1"/>
    </font>
    <font>
      <b/>
      <sz val="11"/>
      <color rgb="FF00AEEF"/>
      <name val="Calibri"/>
      <charset val="1"/>
    </font>
    <font>
      <b/>
      <sz val="11"/>
      <color rgb="FF16A34A"/>
      <name val="Calibri"/>
      <charset val="1"/>
    </font>
    <font>
      <b/>
      <sz val="11"/>
      <color rgb="FFC9860A"/>
      <name val="Calibri"/>
      <charset val="1"/>
    </font>
    <font>
      <b/>
      <sz val="11"/>
      <color rgb="FFB91C1C"/>
      <name val="Calibri"/>
      <charset val="1"/>
    </font>
    <font>
      <b/>
      <sz val="11"/>
      <color rgb="FF6678A0"/>
      <name val="Calibri"/>
      <charset val="1"/>
    </font>
    <font>
      <sz val="8"/>
      <color rgb="FF7A4A00"/>
      <name val="Calibri"/>
      <charset val="1"/>
    </font>
    <font>
      <sz val="8"/>
      <color rgb="FF0D5050"/>
      <name val="Calibri"/>
      <charset val="1"/>
    </font>
  </fonts>
  <fills count="19">
    <fill>
      <patternFill patternType="none"/>
    </fill>
    <fill>
      <patternFill patternType="gray125"/>
    </fill>
    <fill>
      <patternFill patternType="solid">
        <fgColor rgb="FF0A1F5C"/>
        <bgColor rgb="FF1A2A4A"/>
      </patternFill>
    </fill>
    <fill>
      <patternFill patternType="solid">
        <fgColor rgb="FFF4F7FB"/>
        <bgColor rgb="FFEFF6FF"/>
      </patternFill>
    </fill>
    <fill>
      <patternFill patternType="solid">
        <fgColor rgb="FFFFFFFF"/>
        <bgColor rgb="FFF4F7FB"/>
      </patternFill>
    </fill>
    <fill>
      <patternFill patternType="solid">
        <fgColor rgb="FF1A5CA8"/>
        <bgColor rgb="FF00547A"/>
      </patternFill>
    </fill>
    <fill>
      <patternFill patternType="solid">
        <fgColor rgb="FF16A34A"/>
        <bgColor rgb="FF008080"/>
      </patternFill>
    </fill>
    <fill>
      <patternFill patternType="solid">
        <fgColor rgb="FFC9860A"/>
        <bgColor rgb="FFFF6600"/>
      </patternFill>
    </fill>
    <fill>
      <patternFill patternType="solid">
        <fgColor rgb="FFFEE2E2"/>
        <bgColor rgb="FFEDE9FE"/>
      </patternFill>
    </fill>
    <fill>
      <patternFill patternType="solid">
        <fgColor rgb="FFFEF3C7"/>
        <bgColor rgb="FFFEE2E2"/>
      </patternFill>
    </fill>
    <fill>
      <patternFill patternType="solid">
        <fgColor rgb="FFDCFCE7"/>
        <bgColor rgb="FFE1F5EE"/>
      </patternFill>
    </fill>
    <fill>
      <patternFill patternType="solid">
        <fgColor rgb="FFEDE9FE"/>
        <bgColor rgb="FFDBEAFE"/>
      </patternFill>
    </fill>
    <fill>
      <patternFill patternType="solid">
        <fgColor rgb="FF0D5050"/>
        <bgColor rgb="FF00547A"/>
      </patternFill>
    </fill>
    <fill>
      <patternFill patternType="solid">
        <fgColor rgb="FF6D28D9"/>
        <bgColor rgb="FF800080"/>
      </patternFill>
    </fill>
    <fill>
      <patternFill patternType="solid">
        <fgColor rgb="FFE1F5EE"/>
        <bgColor rgb="FFE0F5FF"/>
      </patternFill>
    </fill>
    <fill>
      <patternFill patternType="solid">
        <fgColor rgb="FFB91C1C"/>
        <bgColor rgb="FF993366"/>
      </patternFill>
    </fill>
    <fill>
      <patternFill patternType="solid">
        <fgColor rgb="FFDBEAFE"/>
        <bgColor rgb="FFE0F5FF"/>
      </patternFill>
    </fill>
    <fill>
      <patternFill patternType="solid">
        <fgColor rgb="FFEFF6FF"/>
        <bgColor rgb="FFF4F7FB"/>
      </patternFill>
    </fill>
    <fill>
      <patternFill patternType="solid">
        <fgColor rgb="FFE0F5FF"/>
        <bgColor rgb="FFE1F5EE"/>
      </patternFill>
    </fill>
  </fills>
  <borders count="17">
    <border>
      <left/>
      <right/>
      <top/>
      <bottom/>
      <diagonal/>
    </border>
    <border>
      <left/>
      <right/>
      <top/>
      <bottom style="thin">
        <color rgb="FFD0DCF0"/>
      </bottom>
      <diagonal/>
    </border>
    <border>
      <left/>
      <right/>
      <top/>
      <bottom style="medium">
        <color rgb="FF0A1F5C"/>
      </bottom>
      <diagonal/>
    </border>
    <border>
      <left style="medium">
        <color rgb="FF0D5050"/>
      </left>
      <right style="medium">
        <color rgb="FF0D5050"/>
      </right>
      <top style="medium">
        <color rgb="FF0D5050"/>
      </top>
      <bottom/>
      <diagonal/>
    </border>
    <border>
      <left style="medium">
        <color rgb="FF0A1F5C"/>
      </left>
      <right style="medium">
        <color rgb="FF0A1F5C"/>
      </right>
      <top style="medium">
        <color rgb="FF0A1F5C"/>
      </top>
      <bottom/>
      <diagonal/>
    </border>
    <border>
      <left style="medium">
        <color rgb="FF6D28D9"/>
      </left>
      <right style="medium">
        <color rgb="FF6D28D9"/>
      </right>
      <top style="medium">
        <color rgb="FF6D28D9"/>
      </top>
      <bottom/>
      <diagonal/>
    </border>
    <border>
      <left style="medium">
        <color rgb="FF0D5050"/>
      </left>
      <right style="medium">
        <color rgb="FF0D5050"/>
      </right>
      <top/>
      <bottom/>
      <diagonal/>
    </border>
    <border>
      <left style="medium">
        <color rgb="FF0A1F5C"/>
      </left>
      <right style="medium">
        <color rgb="FF0A1F5C"/>
      </right>
      <top/>
      <bottom/>
      <diagonal/>
    </border>
    <border>
      <left style="medium">
        <color rgb="FF6D28D9"/>
      </left>
      <right style="medium">
        <color rgb="FF6D28D9"/>
      </right>
      <top/>
      <bottom/>
      <diagonal/>
    </border>
    <border>
      <left style="medium">
        <color rgb="FF0D5050"/>
      </left>
      <right style="medium">
        <color rgb="FF0D5050"/>
      </right>
      <top/>
      <bottom style="medium">
        <color rgb="FF0D5050"/>
      </bottom>
      <diagonal/>
    </border>
    <border>
      <left style="medium">
        <color rgb="FF0A1F5C"/>
      </left>
      <right style="medium">
        <color rgb="FF0A1F5C"/>
      </right>
      <top/>
      <bottom style="medium">
        <color rgb="FF0A1F5C"/>
      </bottom>
      <diagonal/>
    </border>
    <border>
      <left style="medium">
        <color rgb="FF6D28D9"/>
      </left>
      <right style="medium">
        <color rgb="FF6D28D9"/>
      </right>
      <top/>
      <bottom style="medium">
        <color rgb="FF6D28D9"/>
      </bottom>
      <diagonal/>
    </border>
    <border>
      <left style="medium">
        <color rgb="FFB91C1C"/>
      </left>
      <right style="medium">
        <color rgb="FFB91C1C"/>
      </right>
      <top style="medium">
        <color rgb="FFB91C1C"/>
      </top>
      <bottom style="medium">
        <color rgb="FFB91C1C"/>
      </bottom>
      <diagonal/>
    </border>
    <border>
      <left style="medium">
        <color rgb="FF00AEEF"/>
      </left>
      <right/>
      <top style="medium">
        <color rgb="FF00AEEF"/>
      </top>
      <bottom style="medium">
        <color rgb="FF00AEEF"/>
      </bottom>
      <diagonal/>
    </border>
    <border>
      <left/>
      <right/>
      <top style="medium">
        <color rgb="FF00AEEF"/>
      </top>
      <bottom style="medium">
        <color rgb="FF00AEEF"/>
      </bottom>
      <diagonal/>
    </border>
    <border>
      <left/>
      <right style="medium">
        <color rgb="FF00AEEF"/>
      </right>
      <top style="medium">
        <color rgb="FF00AEEF"/>
      </top>
      <bottom style="medium">
        <color rgb="FF00AEEF"/>
      </bottom>
      <diagonal/>
    </border>
    <border>
      <left/>
      <right/>
      <top/>
      <bottom style="thin">
        <color rgb="FF6678A0"/>
      </bottom>
      <diagonal/>
    </border>
  </borders>
  <cellStyleXfs count="1">
    <xf numFmtId="0" fontId="0" fillId="0" borderId="0"/>
  </cellStyleXfs>
  <cellXfs count="203">
    <xf numFmtId="0" fontId="0" fillId="0" borderId="0" xfId="0"/>
    <xf numFmtId="0" fontId="0" fillId="0" borderId="0" xfId="0"/>
    <xf numFmtId="0" fontId="0" fillId="0" borderId="2" xfId="0" applyBorder="1"/>
    <xf numFmtId="0" fontId="4" fillId="2" borderId="0" xfId="0" applyFont="1" applyFill="1" applyAlignment="1">
      <alignment horizontal="center" vertical="center" wrapText="1"/>
    </xf>
    <xf numFmtId="0" fontId="6" fillId="11" borderId="1" xfId="0" applyFont="1" applyFill="1" applyBorder="1" applyAlignment="1">
      <alignment horizontal="left" vertical="center" wrapText="1" indent="1"/>
    </xf>
    <xf numFmtId="0" fontId="6" fillId="10" borderId="1" xfId="0" applyFont="1" applyFill="1" applyBorder="1" applyAlignment="1">
      <alignment horizontal="left" vertical="center" wrapText="1" indent="1"/>
    </xf>
    <xf numFmtId="0" fontId="6" fillId="9" borderId="1" xfId="0" applyFont="1" applyFill="1" applyBorder="1" applyAlignment="1">
      <alignment horizontal="left" vertical="center" wrapText="1" indent="1"/>
    </xf>
    <xf numFmtId="0" fontId="6" fillId="8" borderId="1" xfId="0" applyFont="1" applyFill="1" applyBorder="1" applyAlignment="1">
      <alignment horizontal="left" vertical="center" wrapText="1" indent="1"/>
    </xf>
    <xf numFmtId="0" fontId="3" fillId="5" borderId="0" xfId="0" applyFont="1" applyFill="1" applyAlignment="1">
      <alignment horizontal="left" vertical="center" wrapText="1" indent="1"/>
    </xf>
    <xf numFmtId="0" fontId="6" fillId="4"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4" fillId="3" borderId="0" xfId="0" applyFont="1" applyFill="1" applyAlignment="1">
      <alignment horizontal="left" vertical="center" wrapText="1" indent="1"/>
    </xf>
    <xf numFmtId="0" fontId="3" fillId="2" borderId="0" xfId="0" applyFont="1" applyFill="1" applyAlignment="1">
      <alignment horizontal="left" vertical="center" wrapText="1" inden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0" fillId="2" borderId="0" xfId="0" applyFill="1"/>
    <xf numFmtId="0" fontId="0" fillId="3" borderId="0" xfId="0" applyFill="1"/>
    <xf numFmtId="0" fontId="4" fillId="3" borderId="0" xfId="0" applyFont="1" applyFill="1" applyAlignment="1">
      <alignment horizontal="left" vertical="center" wrapText="1" indent="1"/>
    </xf>
    <xf numFmtId="0" fontId="0" fillId="3" borderId="1" xfId="0" applyFill="1" applyBorder="1"/>
    <xf numFmtId="0" fontId="5" fillId="3"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0" fillId="4" borderId="1" xfId="0" applyFill="1" applyBorder="1"/>
    <xf numFmtId="0" fontId="5" fillId="4" borderId="1" xfId="0" applyFont="1" applyFill="1" applyBorder="1" applyAlignment="1">
      <alignment horizontal="left" vertical="center" wrapText="1" indent="1"/>
    </xf>
    <xf numFmtId="0" fontId="6" fillId="4" borderId="1" xfId="0" applyFont="1" applyFill="1" applyBorder="1" applyAlignment="1">
      <alignment horizontal="left" vertical="center" wrapText="1" indent="1"/>
    </xf>
    <xf numFmtId="0" fontId="0" fillId="5" borderId="0" xfId="0" applyFill="1"/>
    <xf numFmtId="0" fontId="3" fillId="6" borderId="1" xfId="0" applyFont="1" applyFill="1" applyBorder="1" applyAlignment="1">
      <alignment horizontal="center" vertical="center" wrapText="1"/>
    </xf>
    <xf numFmtId="0" fontId="7" fillId="4" borderId="1" xfId="0" applyFont="1" applyFill="1" applyBorder="1" applyAlignment="1">
      <alignment horizontal="left" vertical="center" wrapText="1" indent="1"/>
    </xf>
    <xf numFmtId="0" fontId="3" fillId="5" borderId="1" xfId="0" applyFont="1" applyFill="1" applyBorder="1" applyAlignment="1">
      <alignment horizontal="center" vertical="center" wrapText="1"/>
    </xf>
    <xf numFmtId="0" fontId="8" fillId="3"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9" fillId="4" borderId="1" xfId="0" applyFont="1" applyFill="1" applyBorder="1" applyAlignment="1">
      <alignment horizontal="left" vertical="center" wrapText="1" indent="1"/>
    </xf>
    <xf numFmtId="0" fontId="3" fillId="2" borderId="1" xfId="0" applyFont="1" applyFill="1" applyBorder="1" applyAlignment="1">
      <alignment horizontal="center" vertical="center" wrapText="1"/>
    </xf>
    <xf numFmtId="0" fontId="10" fillId="3" borderId="1" xfId="0" applyFont="1" applyFill="1" applyBorder="1" applyAlignment="1">
      <alignment horizontal="left" vertical="center" wrapText="1" indent="1"/>
    </xf>
    <xf numFmtId="0" fontId="0" fillId="8" borderId="1" xfId="0" applyFill="1" applyBorder="1"/>
    <xf numFmtId="0" fontId="11" fillId="8" borderId="1" xfId="0" applyFont="1" applyFill="1" applyBorder="1" applyAlignment="1">
      <alignment horizontal="center" vertical="center" wrapText="1"/>
    </xf>
    <xf numFmtId="0" fontId="0" fillId="9" borderId="1" xfId="0" applyFill="1" applyBorder="1"/>
    <xf numFmtId="0" fontId="9" fillId="9" borderId="1" xfId="0" applyFont="1" applyFill="1" applyBorder="1" applyAlignment="1">
      <alignment horizontal="center" vertical="center" wrapText="1"/>
    </xf>
    <xf numFmtId="0" fontId="0" fillId="10" borderId="1" xfId="0" applyFill="1" applyBorder="1"/>
    <xf numFmtId="0" fontId="7" fillId="10" borderId="1" xfId="0" applyFont="1" applyFill="1" applyBorder="1" applyAlignment="1">
      <alignment horizontal="center" vertical="center" wrapText="1"/>
    </xf>
    <xf numFmtId="0" fontId="0" fillId="11" borderId="1" xfId="0" applyFill="1" applyBorder="1"/>
    <xf numFmtId="0" fontId="12" fillId="11"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left" vertical="center" wrapText="1" indent="1"/>
    </xf>
    <xf numFmtId="0" fontId="14" fillId="4" borderId="1" xfId="0" applyFont="1" applyFill="1" applyBorder="1" applyAlignment="1">
      <alignment horizontal="left" vertical="center" wrapText="1" indent="1"/>
    </xf>
    <xf numFmtId="0" fontId="15" fillId="3" borderId="1" xfId="0" applyFont="1" applyFill="1" applyBorder="1" applyAlignment="1">
      <alignment horizontal="left" vertical="center" wrapText="1" indent="1"/>
    </xf>
    <xf numFmtId="0" fontId="15" fillId="4" borderId="1" xfId="0" applyFont="1" applyFill="1" applyBorder="1" applyAlignment="1">
      <alignment horizontal="left" vertical="center" wrapText="1" indent="1"/>
    </xf>
    <xf numFmtId="0" fontId="0" fillId="0" borderId="2" xfId="0" applyBorder="1"/>
    <xf numFmtId="0" fontId="19" fillId="2"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2" fillId="9" borderId="1" xfId="0" applyFont="1" applyFill="1" applyBorder="1" applyAlignment="1">
      <alignment horizontal="left" vertical="center" wrapText="1" indent="1"/>
    </xf>
    <xf numFmtId="0" fontId="23" fillId="4"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164" fontId="26" fillId="17" borderId="1" xfId="0" applyNumberFormat="1" applyFont="1" applyFill="1" applyBorder="1" applyAlignment="1">
      <alignment horizontal="right" vertical="center" wrapText="1"/>
    </xf>
    <xf numFmtId="0" fontId="24" fillId="4" borderId="1" xfId="0" applyFont="1" applyFill="1" applyBorder="1" applyAlignment="1">
      <alignment horizontal="left" vertical="center" wrapText="1" indent="1"/>
    </xf>
    <xf numFmtId="0" fontId="27" fillId="3" borderId="1" xfId="0" applyFont="1" applyFill="1" applyBorder="1" applyAlignment="1">
      <alignment horizontal="center" vertical="center" wrapText="1"/>
    </xf>
    <xf numFmtId="0" fontId="28" fillId="1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8" fillId="16" borderId="1" xfId="0" applyFont="1" applyFill="1" applyBorder="1" applyAlignment="1">
      <alignment horizontal="left" vertical="center" wrapText="1" indent="1"/>
    </xf>
    <xf numFmtId="0" fontId="23"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4" fillId="3" borderId="1" xfId="0" applyFont="1" applyFill="1" applyBorder="1" applyAlignment="1">
      <alignment horizontal="left" vertical="center" wrapText="1" indent="1"/>
    </xf>
    <xf numFmtId="0" fontId="27" fillId="4" borderId="1" xfId="0" applyFont="1" applyFill="1" applyBorder="1" applyAlignment="1">
      <alignment horizontal="center" vertical="center" wrapText="1"/>
    </xf>
    <xf numFmtId="0" fontId="4" fillId="4" borderId="1" xfId="0" applyFont="1" applyFill="1" applyBorder="1" applyAlignment="1">
      <alignment horizontal="left" vertical="center" wrapText="1" indent="1"/>
    </xf>
    <xf numFmtId="0" fontId="29" fillId="3" borderId="1" xfId="0" applyFont="1" applyFill="1" applyBorder="1" applyAlignment="1">
      <alignment horizontal="center" vertical="center" wrapText="1"/>
    </xf>
    <xf numFmtId="0" fontId="24" fillId="3" borderId="1" xfId="0" applyFont="1" applyFill="1" applyBorder="1" applyAlignment="1">
      <alignment horizontal="left" vertical="center" wrapText="1" indent="1"/>
    </xf>
    <xf numFmtId="0" fontId="23" fillId="18" borderId="1" xfId="0" applyFont="1" applyFill="1" applyBorder="1" applyAlignment="1">
      <alignment horizontal="center" vertical="center" wrapText="1"/>
    </xf>
    <xf numFmtId="0" fontId="30" fillId="18" borderId="1" xfId="0" applyFont="1" applyFill="1" applyBorder="1" applyAlignment="1">
      <alignment horizontal="left" vertical="center" wrapText="1" indent="1"/>
    </xf>
    <xf numFmtId="0" fontId="29" fillId="4" borderId="1" xfId="0" applyFont="1" applyFill="1" applyBorder="1" applyAlignment="1">
      <alignment horizontal="center" vertical="center" wrapText="1"/>
    </xf>
    <xf numFmtId="0" fontId="31" fillId="14" borderId="1" xfId="0" applyFont="1" applyFill="1" applyBorder="1" applyAlignment="1">
      <alignment horizontal="left" vertical="center" wrapText="1" indent="1"/>
    </xf>
    <xf numFmtId="0" fontId="32" fillId="11" borderId="1" xfId="0" applyFont="1" applyFill="1" applyBorder="1" applyAlignment="1">
      <alignment horizontal="center" vertical="center" wrapText="1"/>
    </xf>
    <xf numFmtId="0" fontId="33" fillId="11" borderId="1" xfId="0" applyFont="1" applyFill="1" applyBorder="1" applyAlignment="1">
      <alignment horizontal="left" vertical="center" wrapText="1" indent="1"/>
    </xf>
    <xf numFmtId="0" fontId="34" fillId="10" borderId="1" xfId="0" applyFont="1" applyFill="1" applyBorder="1" applyAlignment="1">
      <alignment horizontal="center" vertical="center" wrapText="1"/>
    </xf>
    <xf numFmtId="0" fontId="35" fillId="3" borderId="1" xfId="0" applyFont="1" applyFill="1" applyBorder="1" applyAlignment="1">
      <alignment horizontal="left" vertical="center" wrapText="1" indent="1"/>
    </xf>
    <xf numFmtId="0" fontId="36" fillId="3" borderId="1" xfId="0" applyFont="1" applyFill="1" applyBorder="1" applyAlignment="1">
      <alignment horizontal="left" vertical="center" wrapText="1" indent="1"/>
    </xf>
    <xf numFmtId="0" fontId="36" fillId="3" borderId="1" xfId="0" applyFont="1" applyFill="1" applyBorder="1" applyAlignment="1">
      <alignment horizontal="center" vertical="center" wrapText="1"/>
    </xf>
    <xf numFmtId="0" fontId="37"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0" fillId="0" borderId="1" xfId="0" applyBorder="1"/>
    <xf numFmtId="0" fontId="20" fillId="10" borderId="1" xfId="0" applyFont="1" applyFill="1" applyBorder="1" applyAlignment="1">
      <alignment horizontal="left" vertical="center" wrapText="1" indent="1"/>
    </xf>
    <xf numFmtId="0" fontId="38" fillId="4" borderId="1" xfId="0" applyFont="1" applyFill="1" applyBorder="1" applyAlignment="1">
      <alignment horizontal="center" vertical="center" wrapText="1"/>
    </xf>
    <xf numFmtId="0" fontId="38" fillId="3" borderId="1" xfId="0" applyFont="1" applyFill="1" applyBorder="1" applyAlignment="1">
      <alignment horizontal="center" vertical="center" wrapText="1"/>
    </xf>
    <xf numFmtId="165" fontId="39" fillId="2" borderId="14" xfId="0" applyNumberFormat="1" applyFont="1" applyFill="1" applyBorder="1" applyAlignment="1">
      <alignment horizontal="right" vertical="center" wrapText="1"/>
    </xf>
    <xf numFmtId="0" fontId="19" fillId="5" borderId="0" xfId="0" applyFont="1" applyFill="1" applyAlignment="1">
      <alignment horizontal="left" vertical="center" wrapText="1" indent="1"/>
    </xf>
    <xf numFmtId="0" fontId="36" fillId="3" borderId="0" xfId="0" applyFont="1" applyFill="1" applyAlignment="1">
      <alignment horizontal="center" vertical="center" wrapText="1"/>
    </xf>
    <xf numFmtId="0" fontId="42" fillId="2" borderId="0" xfId="0" applyFont="1" applyFill="1" applyAlignment="1">
      <alignment horizontal="center" vertical="center" wrapText="1"/>
    </xf>
    <xf numFmtId="0" fontId="42" fillId="15" borderId="0" xfId="0" applyFont="1" applyFill="1" applyAlignment="1">
      <alignment horizontal="center" vertical="center" wrapText="1"/>
    </xf>
    <xf numFmtId="0" fontId="42" fillId="7" borderId="0" xfId="0" applyFont="1" applyFill="1" applyAlignment="1">
      <alignment horizontal="center" vertical="center" wrapText="1"/>
    </xf>
    <xf numFmtId="0" fontId="42" fillId="6" borderId="0" xfId="0" applyFont="1" applyFill="1" applyAlignment="1">
      <alignment horizontal="center" vertical="center" wrapText="1"/>
    </xf>
    <xf numFmtId="0" fontId="42" fillId="13" borderId="0" xfId="0" applyFont="1" applyFill="1" applyAlignment="1">
      <alignment horizontal="center" vertical="center" wrapText="1"/>
    </xf>
    <xf numFmtId="0" fontId="10" fillId="3" borderId="1"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44" fillId="3" borderId="1" xfId="0" applyFont="1" applyFill="1" applyBorder="1" applyAlignment="1">
      <alignment horizontal="center" vertical="center" wrapText="1"/>
    </xf>
    <xf numFmtId="0" fontId="45" fillId="3" borderId="1" xfId="0" applyFont="1" applyFill="1" applyBorder="1" applyAlignment="1">
      <alignment horizontal="center" vertical="center" wrapText="1"/>
    </xf>
    <xf numFmtId="0" fontId="46" fillId="3" borderId="1" xfId="0" applyFont="1" applyFill="1" applyBorder="1" applyAlignment="1">
      <alignment horizontal="center" vertical="center" wrapText="1"/>
    </xf>
    <xf numFmtId="9" fontId="47" fillId="3"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indent="1"/>
    </xf>
    <xf numFmtId="0" fontId="10" fillId="4" borderId="1" xfId="0" applyFont="1" applyFill="1" applyBorder="1" applyAlignment="1">
      <alignment horizontal="center" vertical="center" wrapText="1"/>
    </xf>
    <xf numFmtId="0" fontId="43" fillId="4" borderId="1" xfId="0" applyFont="1" applyFill="1" applyBorder="1" applyAlignment="1">
      <alignment horizontal="center" vertical="center" wrapText="1"/>
    </xf>
    <xf numFmtId="0" fontId="44" fillId="4" borderId="1" xfId="0" applyFont="1" applyFill="1" applyBorder="1" applyAlignment="1">
      <alignment horizontal="center" vertical="center" wrapText="1"/>
    </xf>
    <xf numFmtId="0" fontId="45" fillId="4"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9" fontId="47" fillId="4" borderId="1" xfId="0" applyNumberFormat="1" applyFont="1" applyFill="1" applyBorder="1" applyAlignment="1">
      <alignment horizontal="center" vertical="center" wrapText="1"/>
    </xf>
    <xf numFmtId="0" fontId="48" fillId="3" borderId="1" xfId="0" applyFont="1" applyFill="1" applyBorder="1" applyAlignment="1">
      <alignment horizontal="left" vertical="center" wrapText="1" indent="1"/>
    </xf>
    <xf numFmtId="0" fontId="17" fillId="4" borderId="1" xfId="0" applyFont="1" applyFill="1" applyBorder="1" applyAlignment="1">
      <alignment horizontal="left" vertical="center" wrapText="1" indent="1"/>
    </xf>
    <xf numFmtId="0" fontId="49" fillId="3" borderId="1" xfId="0" applyFont="1" applyFill="1" applyBorder="1" applyAlignment="1">
      <alignment horizontal="left" vertical="center" wrapText="1" indent="1"/>
    </xf>
    <xf numFmtId="0" fontId="47" fillId="3" borderId="1" xfId="0" applyFont="1" applyFill="1" applyBorder="1" applyAlignment="1">
      <alignment horizontal="left" vertical="center" wrapText="1" indent="1"/>
    </xf>
    <xf numFmtId="0" fontId="50" fillId="4" borderId="1" xfId="0" applyFont="1" applyFill="1" applyBorder="1" applyAlignment="1">
      <alignment horizontal="left" vertical="center" wrapText="1" indent="1"/>
    </xf>
    <xf numFmtId="0" fontId="17" fillId="3" borderId="1" xfId="0" applyFont="1" applyFill="1" applyBorder="1" applyAlignment="1">
      <alignment horizontal="left" vertical="center" wrapText="1" indent="1"/>
    </xf>
    <xf numFmtId="0" fontId="50" fillId="3" borderId="1" xfId="0" applyFont="1" applyFill="1" applyBorder="1" applyAlignment="1">
      <alignment horizontal="left" vertical="center" wrapText="1" indent="1"/>
    </xf>
    <xf numFmtId="0" fontId="51" fillId="3" borderId="1" xfId="0" applyFont="1" applyFill="1" applyBorder="1" applyAlignment="1">
      <alignment horizontal="left" vertical="center" wrapText="1" indent="1"/>
    </xf>
    <xf numFmtId="0" fontId="11" fillId="4" borderId="1" xfId="0" applyFont="1" applyFill="1" applyBorder="1" applyAlignment="1">
      <alignment horizontal="center" vertical="center" wrapText="1"/>
    </xf>
    <xf numFmtId="0" fontId="51" fillId="4" borderId="1" xfId="0" applyFont="1" applyFill="1" applyBorder="1" applyAlignment="1">
      <alignment horizontal="left" vertical="center" wrapText="1" indent="1"/>
    </xf>
    <xf numFmtId="0" fontId="8" fillId="3"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52" fillId="3"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0" fontId="19" fillId="12" borderId="0" xfId="0" applyFont="1" applyFill="1" applyAlignment="1">
      <alignment horizontal="center" vertical="center" wrapText="1"/>
    </xf>
    <xf numFmtId="0" fontId="54" fillId="4" borderId="1" xfId="0" applyFont="1" applyFill="1" applyBorder="1" applyAlignment="1">
      <alignment horizontal="left" vertical="center" wrapText="1" indent="1"/>
    </xf>
    <xf numFmtId="0" fontId="21" fillId="16" borderId="1" xfId="0" applyFont="1" applyFill="1" applyBorder="1" applyAlignment="1">
      <alignment horizontal="left" vertical="center" wrapText="1" indent="1"/>
    </xf>
    <xf numFmtId="0" fontId="55" fillId="4" borderId="1" xfId="0" applyFont="1" applyFill="1" applyBorder="1" applyAlignment="1">
      <alignment horizontal="left" vertical="center" wrapText="1" indent="1"/>
    </xf>
    <xf numFmtId="0" fontId="47" fillId="10" borderId="1" xfId="0" applyFont="1" applyFill="1" applyBorder="1" applyAlignment="1">
      <alignment horizontal="center" vertical="center" wrapText="1"/>
    </xf>
    <xf numFmtId="0" fontId="49" fillId="4" borderId="1" xfId="0" applyFont="1" applyFill="1" applyBorder="1" applyAlignment="1">
      <alignment horizontal="center" vertical="center" wrapText="1"/>
    </xf>
    <xf numFmtId="165" fontId="5" fillId="3" borderId="1" xfId="0" applyNumberFormat="1" applyFont="1" applyFill="1" applyBorder="1" applyAlignment="1">
      <alignment horizontal="right" vertical="center" wrapText="1"/>
    </xf>
    <xf numFmtId="0" fontId="50" fillId="3" borderId="1" xfId="0" applyFont="1" applyFill="1" applyBorder="1" applyAlignment="1">
      <alignment horizontal="center" vertical="center" wrapText="1"/>
    </xf>
    <xf numFmtId="0" fontId="26" fillId="17" borderId="1" xfId="0" applyFont="1" applyFill="1" applyBorder="1" applyAlignment="1">
      <alignment horizontal="left" vertical="center" wrapText="1" indent="1"/>
    </xf>
    <xf numFmtId="164" fontId="56" fillId="4" borderId="1" xfId="0" applyNumberFormat="1" applyFont="1" applyFill="1" applyBorder="1" applyAlignment="1">
      <alignment horizontal="right" vertical="center" wrapText="1"/>
    </xf>
    <xf numFmtId="0" fontId="15" fillId="16" borderId="1" xfId="0" applyFont="1" applyFill="1" applyBorder="1" applyAlignment="1">
      <alignment horizontal="center" vertical="center" wrapText="1"/>
    </xf>
    <xf numFmtId="166" fontId="26" fillId="17" borderId="1" xfId="0" applyNumberFormat="1" applyFont="1" applyFill="1" applyBorder="1" applyAlignment="1">
      <alignment horizontal="right" vertical="center" wrapText="1"/>
    </xf>
    <xf numFmtId="0" fontId="54" fillId="3" borderId="1" xfId="0" applyFont="1" applyFill="1" applyBorder="1" applyAlignment="1">
      <alignment horizontal="left" vertical="center" wrapText="1" indent="1"/>
    </xf>
    <xf numFmtId="0" fontId="23" fillId="18" borderId="1" xfId="0" applyFont="1" applyFill="1" applyBorder="1" applyAlignment="1">
      <alignment horizontal="left" vertical="center" wrapText="1" indent="1"/>
    </xf>
    <xf numFmtId="0" fontId="55" fillId="3" borderId="1" xfId="0" applyFont="1" applyFill="1" applyBorder="1" applyAlignment="1">
      <alignment horizontal="left" vertical="center" wrapText="1" indent="1"/>
    </xf>
    <xf numFmtId="0" fontId="49" fillId="3" borderId="1" xfId="0" applyFont="1" applyFill="1" applyBorder="1" applyAlignment="1">
      <alignment horizontal="center" vertical="center" wrapText="1"/>
    </xf>
    <xf numFmtId="164" fontId="56" fillId="3" borderId="1" xfId="0" applyNumberFormat="1" applyFont="1" applyFill="1" applyBorder="1" applyAlignment="1">
      <alignment horizontal="right" vertical="center" wrapText="1"/>
    </xf>
    <xf numFmtId="0" fontId="29" fillId="3" borderId="1" xfId="0" applyFont="1" applyFill="1" applyBorder="1" applyAlignment="1">
      <alignment horizontal="left" vertical="center" wrapText="1" indent="1"/>
    </xf>
    <xf numFmtId="0" fontId="32" fillId="11" borderId="1" xfId="0" applyFont="1" applyFill="1" applyBorder="1" applyAlignment="1">
      <alignment horizontal="left" vertical="center" wrapText="1" indent="1"/>
    </xf>
    <xf numFmtId="0" fontId="37" fillId="9" borderId="1" xfId="0" applyFont="1" applyFill="1" applyBorder="1" applyAlignment="1">
      <alignment horizontal="left" vertical="center" wrapText="1" indent="1"/>
    </xf>
    <xf numFmtId="0" fontId="49" fillId="9" borderId="1" xfId="0" applyFont="1" applyFill="1" applyBorder="1" applyAlignment="1">
      <alignment horizontal="center" vertical="center" wrapText="1"/>
    </xf>
    <xf numFmtId="165" fontId="57" fillId="2" borderId="0" xfId="0" applyNumberFormat="1" applyFont="1" applyFill="1" applyAlignment="1">
      <alignment horizontal="right" vertical="center" wrapText="1"/>
    </xf>
    <xf numFmtId="165" fontId="58" fillId="10" borderId="16" xfId="0" applyNumberFormat="1" applyFont="1" applyFill="1" applyBorder="1" applyAlignment="1">
      <alignment horizontal="right" vertical="center" wrapText="1"/>
    </xf>
    <xf numFmtId="0" fontId="0" fillId="0" borderId="16" xfId="0" applyBorder="1"/>
    <xf numFmtId="165" fontId="7" fillId="17" borderId="0" xfId="0" applyNumberFormat="1" applyFont="1" applyFill="1" applyAlignment="1">
      <alignment horizontal="right" vertical="center" wrapText="1"/>
    </xf>
    <xf numFmtId="165" fontId="59" fillId="9" borderId="16" xfId="0" applyNumberFormat="1" applyFont="1" applyFill="1" applyBorder="1" applyAlignment="1">
      <alignment horizontal="right" vertical="center" wrapText="1"/>
    </xf>
    <xf numFmtId="165" fontId="9" fillId="17" borderId="0" xfId="0" applyNumberFormat="1" applyFont="1" applyFill="1" applyAlignment="1">
      <alignment horizontal="right" vertical="center" wrapText="1"/>
    </xf>
    <xf numFmtId="165" fontId="60" fillId="8" borderId="16" xfId="0" applyNumberFormat="1" applyFont="1" applyFill="1" applyBorder="1" applyAlignment="1">
      <alignment horizontal="right" vertical="center" wrapText="1"/>
    </xf>
    <xf numFmtId="165" fontId="11" fillId="17" borderId="0" xfId="0" applyNumberFormat="1" applyFont="1" applyFill="1" applyAlignment="1">
      <alignment horizontal="right" vertical="center" wrapText="1"/>
    </xf>
    <xf numFmtId="165" fontId="61" fillId="3" borderId="16" xfId="0" applyNumberFormat="1" applyFont="1" applyFill="1" applyBorder="1" applyAlignment="1">
      <alignment horizontal="right" vertical="center" wrapText="1"/>
    </xf>
    <xf numFmtId="165" fontId="13" fillId="17" borderId="0" xfId="0" applyNumberFormat="1" applyFont="1" applyFill="1" applyAlignment="1">
      <alignment horizontal="right" vertical="center" wrapText="1"/>
    </xf>
    <xf numFmtId="0" fontId="35" fillId="3" borderId="0" xfId="0" applyFont="1" applyFill="1" applyAlignment="1">
      <alignment horizontal="right" vertical="center" wrapText="1"/>
    </xf>
    <xf numFmtId="0" fontId="20" fillId="10" borderId="0" xfId="0" applyFont="1" applyFill="1" applyAlignment="1">
      <alignment horizontal="center" vertical="center" wrapText="1"/>
    </xf>
    <xf numFmtId="0" fontId="22" fillId="9" borderId="0" xfId="0" applyFont="1" applyFill="1" applyAlignment="1">
      <alignment horizontal="center" vertical="center" wrapText="1"/>
    </xf>
    <xf numFmtId="0" fontId="28" fillId="16" borderId="0" xfId="0" applyFont="1" applyFill="1" applyAlignment="1">
      <alignment horizontal="center" vertical="center" wrapText="1"/>
    </xf>
    <xf numFmtId="0" fontId="33" fillId="11" borderId="0" xfId="0" applyFont="1" applyFill="1" applyAlignment="1">
      <alignment horizontal="center" vertical="center" wrapText="1"/>
    </xf>
    <xf numFmtId="0" fontId="25" fillId="8" borderId="0" xfId="0" applyFont="1" applyFill="1" applyAlignment="1">
      <alignment horizontal="center" vertical="center" wrapText="1"/>
    </xf>
    <xf numFmtId="166" fontId="51" fillId="17" borderId="1" xfId="0" applyNumberFormat="1" applyFont="1" applyFill="1" applyBorder="1" applyAlignment="1">
      <alignment horizontal="right" vertical="center" wrapText="1"/>
    </xf>
    <xf numFmtId="167" fontId="44" fillId="9" borderId="1" xfId="0" applyNumberFormat="1" applyFont="1" applyFill="1" applyBorder="1" applyAlignment="1">
      <alignment horizontal="center" vertical="center" wrapText="1"/>
    </xf>
    <xf numFmtId="0" fontId="63" fillId="14" borderId="1" xfId="0" applyFont="1" applyFill="1" applyBorder="1" applyAlignment="1">
      <alignment horizontal="center" vertical="center" wrapText="1"/>
    </xf>
    <xf numFmtId="165" fontId="39" fillId="2" borderId="0" xfId="0" applyNumberFormat="1" applyFont="1" applyFill="1" applyAlignment="1">
      <alignment horizontal="right" vertical="center" wrapText="1"/>
    </xf>
    <xf numFmtId="0" fontId="16" fillId="12" borderId="3" xfId="0" applyFont="1" applyFill="1" applyBorder="1" applyAlignment="1">
      <alignment horizontal="left" vertical="center" wrapText="1" indent="1"/>
    </xf>
    <xf numFmtId="0" fontId="16" fillId="2" borderId="4" xfId="0" applyFont="1" applyFill="1" applyBorder="1" applyAlignment="1">
      <alignment horizontal="left" vertical="center" wrapText="1" indent="1"/>
    </xf>
    <xf numFmtId="0" fontId="16" fillId="13" borderId="5" xfId="0" applyFont="1" applyFill="1" applyBorder="1" applyAlignment="1">
      <alignment horizontal="left" vertical="center" wrapText="1" indent="1"/>
    </xf>
    <xf numFmtId="0" fontId="4" fillId="14" borderId="6" xfId="0" applyFont="1" applyFill="1" applyBorder="1" applyAlignment="1">
      <alignment horizontal="left" vertical="center" wrapText="1" indent="1"/>
    </xf>
    <xf numFmtId="0" fontId="4" fillId="3" borderId="7" xfId="0" applyFont="1" applyFill="1" applyBorder="1" applyAlignment="1">
      <alignment horizontal="left" vertical="center" wrapText="1" indent="1"/>
    </xf>
    <xf numFmtId="0" fontId="4" fillId="11" borderId="8" xfId="0" applyFont="1" applyFill="1" applyBorder="1" applyAlignment="1">
      <alignment horizontal="left" vertical="center" wrapText="1" indent="1"/>
    </xf>
    <xf numFmtId="0" fontId="17" fillId="14" borderId="6" xfId="0" applyFont="1" applyFill="1" applyBorder="1" applyAlignment="1">
      <alignment horizontal="left" vertical="center" wrapText="1" indent="1"/>
    </xf>
    <xf numFmtId="0" fontId="5" fillId="3" borderId="7" xfId="0" applyFont="1" applyFill="1" applyBorder="1" applyAlignment="1">
      <alignment horizontal="left" vertical="center" wrapText="1" indent="1"/>
    </xf>
    <xf numFmtId="0" fontId="18" fillId="11" borderId="8" xfId="0" applyFont="1" applyFill="1" applyBorder="1" applyAlignment="1">
      <alignment horizontal="left" vertical="center" wrapText="1" indent="1"/>
    </xf>
    <xf numFmtId="0" fontId="6" fillId="4" borderId="6" xfId="0" applyFont="1" applyFill="1" applyBorder="1" applyAlignment="1">
      <alignment horizontal="left" vertical="center" wrapText="1" indent="1"/>
    </xf>
    <xf numFmtId="0" fontId="6" fillId="4" borderId="7" xfId="0" applyFont="1" applyFill="1" applyBorder="1" applyAlignment="1">
      <alignment horizontal="left" vertical="center" wrapText="1" indent="1"/>
    </xf>
    <xf numFmtId="0" fontId="6" fillId="4" borderId="8" xfId="0" applyFont="1" applyFill="1" applyBorder="1" applyAlignment="1">
      <alignment horizontal="left" vertical="center" wrapText="1" indent="1"/>
    </xf>
    <xf numFmtId="0" fontId="6" fillId="14" borderId="6" xfId="0" applyFont="1" applyFill="1" applyBorder="1" applyAlignment="1">
      <alignment horizontal="left" vertical="center" wrapText="1" indent="1"/>
    </xf>
    <xf numFmtId="0" fontId="6" fillId="3" borderId="7" xfId="0" applyFont="1" applyFill="1" applyBorder="1" applyAlignment="1">
      <alignment horizontal="left" vertical="center" wrapText="1" indent="1"/>
    </xf>
    <xf numFmtId="0" fontId="6" fillId="11" borderId="8" xfId="0" applyFont="1" applyFill="1" applyBorder="1" applyAlignment="1">
      <alignment horizontal="left" vertical="center" wrapText="1" indent="1"/>
    </xf>
    <xf numFmtId="0" fontId="6" fillId="4" borderId="9" xfId="0" applyFont="1" applyFill="1" applyBorder="1" applyAlignment="1">
      <alignment horizontal="left" vertical="center" wrapText="1" indent="1"/>
    </xf>
    <xf numFmtId="0" fontId="6" fillId="4" borderId="10" xfId="0" applyFont="1" applyFill="1" applyBorder="1" applyAlignment="1">
      <alignment horizontal="left" vertical="center" wrapText="1" indent="1"/>
    </xf>
    <xf numFmtId="0" fontId="6" fillId="4" borderId="11" xfId="0" applyFont="1" applyFill="1" applyBorder="1" applyAlignment="1">
      <alignment horizontal="left" vertical="center" wrapText="1" indent="1"/>
    </xf>
    <xf numFmtId="0" fontId="19" fillId="15" borderId="12" xfId="0" applyFont="1" applyFill="1" applyBorder="1" applyAlignment="1">
      <alignment horizontal="left" vertical="center" wrapText="1" indent="1"/>
    </xf>
    <xf numFmtId="0" fontId="5"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6" fillId="2" borderId="13" xfId="0" applyFont="1" applyFill="1" applyBorder="1" applyAlignment="1">
      <alignment horizontal="left" vertical="center" wrapText="1" indent="1"/>
    </xf>
    <xf numFmtId="0" fontId="40" fillId="2" borderId="15" xfId="0" applyFont="1" applyFill="1" applyBorder="1" applyAlignment="1">
      <alignment horizontal="center" vertical="center" wrapText="1"/>
    </xf>
    <xf numFmtId="0" fontId="41" fillId="2" borderId="0" xfId="0" applyFont="1" applyFill="1" applyAlignment="1">
      <alignment horizontal="center" vertical="center" wrapText="1"/>
    </xf>
    <xf numFmtId="0" fontId="19" fillId="5" borderId="0" xfId="0" applyFont="1" applyFill="1" applyAlignment="1">
      <alignment horizontal="left" vertical="center" wrapText="1" indent="1"/>
    </xf>
    <xf numFmtId="0" fontId="10" fillId="3" borderId="0" xfId="0" applyFont="1" applyFill="1" applyAlignment="1">
      <alignment horizontal="center" vertical="center" wrapText="1"/>
    </xf>
    <xf numFmtId="0" fontId="19" fillId="2" borderId="0" xfId="0" applyFont="1" applyFill="1" applyAlignment="1">
      <alignment horizontal="center" vertical="center" wrapText="1"/>
    </xf>
    <xf numFmtId="0" fontId="51" fillId="3" borderId="1" xfId="0" applyFont="1" applyFill="1" applyBorder="1" applyAlignment="1">
      <alignment horizontal="left" vertical="center" wrapText="1" indent="1"/>
    </xf>
    <xf numFmtId="0" fontId="51" fillId="4" borderId="1" xfId="0" applyFont="1" applyFill="1" applyBorder="1" applyAlignment="1">
      <alignment horizontal="left" vertical="center" wrapText="1" indent="1"/>
    </xf>
    <xf numFmtId="0" fontId="16" fillId="2" borderId="0" xfId="0" applyFont="1" applyFill="1" applyAlignment="1">
      <alignment horizontal="left" vertical="center" wrapText="1" indent="1"/>
    </xf>
    <xf numFmtId="0" fontId="7" fillId="10" borderId="16" xfId="0" applyFont="1" applyFill="1" applyBorder="1" applyAlignment="1">
      <alignment horizontal="left" vertical="center" wrapText="1" indent="1"/>
    </xf>
    <xf numFmtId="0" fontId="9" fillId="9" borderId="16" xfId="0" applyFont="1" applyFill="1" applyBorder="1" applyAlignment="1">
      <alignment horizontal="left" vertical="center" wrapText="1" indent="1"/>
    </xf>
    <xf numFmtId="0" fontId="11" fillId="8" borderId="16" xfId="0" applyFont="1" applyFill="1" applyBorder="1" applyAlignment="1">
      <alignment horizontal="left" vertical="center" wrapText="1" indent="1"/>
    </xf>
    <xf numFmtId="0" fontId="13" fillId="3" borderId="16" xfId="0" applyFont="1" applyFill="1" applyBorder="1" applyAlignment="1">
      <alignment horizontal="left" vertical="center" wrapText="1" indent="1"/>
    </xf>
    <xf numFmtId="0" fontId="62" fillId="9" borderId="0" xfId="0" applyFont="1" applyFill="1" applyAlignment="1">
      <alignment horizontal="left" vertical="center" wrapText="1" indent="1"/>
    </xf>
    <xf numFmtId="0" fontId="4" fillId="3" borderId="0" xfId="0" applyFont="1" applyFill="1" applyAlignment="1">
      <alignment horizontal="center" vertical="center" wrapText="1"/>
    </xf>
    <xf numFmtId="0" fontId="16" fillId="2" borderId="2" xfId="0" applyFont="1" applyFill="1" applyBorder="1" applyAlignment="1">
      <alignment horizontal="left" vertical="center" wrapText="1" indent="1"/>
    </xf>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16" fillId="12" borderId="2" xfId="0" applyFont="1" applyFill="1" applyBorder="1" applyAlignment="1">
      <alignment horizontal="left" vertical="center" wrapText="1" indent="1"/>
    </xf>
    <xf numFmtId="0" fontId="40" fillId="2" borderId="0" xfId="0" applyFont="1" applyFill="1" applyAlignment="1">
      <alignment horizontal="center" vertical="center" wrapText="1"/>
    </xf>
  </cellXfs>
  <cellStyles count="1">
    <cellStyle name="Normal" xfId="0" builtinId="0"/>
  </cellStyles>
  <dxfs count="113">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sz val="9"/>
        <color rgb="FF6678A0"/>
        <name val="Calibri"/>
        <charset val="1"/>
      </font>
      <fill>
        <patternFill>
          <bgColor rgb="FFF4F7FB"/>
        </patternFill>
      </fill>
    </dxf>
    <dxf>
      <font>
        <b/>
        <sz val="9"/>
        <color rgb="FFB91C1C"/>
        <name val="Calibri"/>
        <charset val="1"/>
      </font>
      <fill>
        <patternFill>
          <bgColor rgb="FFFEE2E2"/>
        </patternFill>
      </fill>
    </dxf>
    <dxf>
      <font>
        <b/>
        <sz val="9"/>
        <color rgb="FF6D28D9"/>
        <name val="Calibri"/>
        <charset val="1"/>
      </font>
      <fill>
        <patternFill>
          <bgColor rgb="FFEDE9FE"/>
        </patternFill>
      </fill>
    </dxf>
    <dxf>
      <font>
        <b/>
        <sz val="9"/>
        <color rgb="FF1A5CA8"/>
        <name val="Calibri"/>
        <charset val="1"/>
      </font>
      <fill>
        <patternFill>
          <bgColor rgb="FFDBEAFE"/>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b/>
        <sz val="9"/>
        <color rgb="FF1A5CA8"/>
        <name val="Calibri"/>
        <charset val="1"/>
      </font>
      <fill>
        <patternFill>
          <bgColor rgb="FFDBEAFE"/>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16A34A"/>
        <name val="Calibri"/>
        <charset val="1"/>
      </font>
      <fill>
        <patternFill>
          <bgColor rgb="FFDCFCE7"/>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sz val="9"/>
        <color rgb="FF6678A0"/>
        <name val="Calibri"/>
        <charset val="1"/>
      </font>
      <fill>
        <patternFill>
          <bgColor rgb="FFF4F7FB"/>
        </patternFill>
      </fill>
    </dxf>
    <dxf>
      <font>
        <sz val="9"/>
        <color rgb="FF6678A0"/>
        <name val="Calibri"/>
        <charset val="1"/>
      </font>
      <fill>
        <patternFill>
          <bgColor rgb="FFF4F7FB"/>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6D28D9"/>
        <name val="Calibri"/>
        <charset val="1"/>
      </font>
      <fill>
        <patternFill>
          <bgColor rgb="FFEDE9FE"/>
        </patternFill>
      </fill>
    </dxf>
    <dxf>
      <font>
        <b/>
        <sz val="9"/>
        <color rgb="FFB91C1C"/>
        <name val="Calibri"/>
        <charset val="1"/>
      </font>
      <fill>
        <patternFill>
          <bgColor rgb="FFFEE2E2"/>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6D28D9"/>
        <name val="Calibri"/>
        <charset val="1"/>
      </font>
      <fill>
        <patternFill>
          <bgColor rgb="FFEDE9FE"/>
        </patternFill>
      </fill>
    </dxf>
    <dxf>
      <font>
        <sz val="9"/>
        <color rgb="FF6678A0"/>
        <name val="Calibri"/>
        <charset val="1"/>
      </font>
      <fill>
        <patternFill>
          <bgColor rgb="FFF4F7FB"/>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sz val="9"/>
        <color rgb="FF6678A0"/>
        <name val="Calibri"/>
        <charset val="1"/>
      </font>
      <fill>
        <patternFill>
          <bgColor rgb="FFF4F7FB"/>
        </patternFill>
      </fill>
    </dxf>
    <dxf>
      <font>
        <b/>
        <sz val="9"/>
        <color rgb="FF6D28D9"/>
        <name val="Calibri"/>
        <charset val="1"/>
      </font>
      <fill>
        <patternFill>
          <bgColor rgb="FFEDE9FE"/>
        </patternFill>
      </fill>
    </dxf>
    <dxf>
      <font>
        <b/>
        <sz val="9"/>
        <color rgb="FFB91C1C"/>
        <name val="Calibri"/>
        <charset val="1"/>
      </font>
      <fill>
        <patternFill>
          <bgColor rgb="FFFEE2E2"/>
        </patternFill>
      </fill>
    </dxf>
    <dxf>
      <font>
        <sz val="9"/>
        <color rgb="FF6678A0"/>
        <name val="Calibri"/>
        <charset val="1"/>
      </font>
      <fill>
        <patternFill>
          <bgColor rgb="FFF4F7FB"/>
        </patternFill>
      </fill>
    </dxf>
    <dxf>
      <font>
        <b/>
        <sz val="9"/>
        <color rgb="FF6D28D9"/>
        <name val="Calibri"/>
        <charset val="1"/>
      </font>
      <fill>
        <patternFill>
          <bgColor rgb="FFEDE9FE"/>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b/>
        <sz val="9"/>
        <color rgb="FF6D28D9"/>
        <name val="Calibri"/>
        <charset val="1"/>
      </font>
      <fill>
        <patternFill>
          <bgColor rgb="FFEDE9FE"/>
        </patternFill>
      </fill>
    </dxf>
    <dxf>
      <font>
        <b/>
        <sz val="9"/>
        <color rgb="FFB91C1C"/>
        <name val="Calibri"/>
        <charset val="1"/>
      </font>
      <fill>
        <patternFill>
          <bgColor rgb="FFFEE2E2"/>
        </patternFill>
      </fill>
    </dxf>
    <dxf>
      <font>
        <b/>
        <sz val="9"/>
        <color rgb="FFC9860A"/>
        <name val="Calibri"/>
        <charset val="1"/>
      </font>
      <fill>
        <patternFill>
          <bgColor rgb="FFFEF3C7"/>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16A34A"/>
        <name val="Calibri"/>
        <charset val="1"/>
      </font>
      <fill>
        <patternFill>
          <bgColor rgb="FFDCFCE7"/>
        </patternFill>
      </fill>
    </dxf>
    <dxf>
      <font>
        <b/>
        <sz val="9"/>
        <color rgb="FF1A5CA8"/>
        <name val="Calibri"/>
        <charset val="1"/>
      </font>
      <fill>
        <patternFill>
          <bgColor rgb="FFDBEAFE"/>
        </patternFill>
      </fill>
    </dxf>
    <dxf>
      <font>
        <b/>
        <sz val="9"/>
        <color rgb="FFC9860A"/>
        <name val="Calibri"/>
        <charset val="1"/>
      </font>
      <fill>
        <patternFill>
          <bgColor rgb="FFFEF3C7"/>
        </patternFill>
      </fill>
    </dxf>
    <dxf>
      <font>
        <sz val="9"/>
        <color rgb="FF6678A0"/>
        <name val="Calibri"/>
        <charset val="1"/>
      </font>
      <fill>
        <patternFill>
          <bgColor rgb="FFF4F7FB"/>
        </patternFill>
      </fill>
    </dxf>
    <dxf>
      <font>
        <sz val="9"/>
        <color rgb="FF6678A0"/>
        <name val="Calibri"/>
        <charset val="1"/>
      </font>
      <fill>
        <patternFill>
          <bgColor rgb="FFF4F7FB"/>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sz val="9"/>
        <color rgb="FF6678A0"/>
        <name val="Calibri"/>
        <charset val="1"/>
      </font>
      <fill>
        <patternFill>
          <bgColor rgb="FFF4F7FB"/>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b/>
        <sz val="9"/>
        <color rgb="FFC9860A"/>
        <name val="Calibri"/>
        <charset val="1"/>
      </font>
      <fill>
        <patternFill>
          <bgColor rgb="FFFEF3C7"/>
        </patternFill>
      </fill>
    </dxf>
    <dxf>
      <font>
        <b/>
        <sz val="9"/>
        <color rgb="FFC9860A"/>
        <name val="Calibri"/>
        <charset val="1"/>
      </font>
      <fill>
        <patternFill>
          <bgColor rgb="FFFEF3C7"/>
        </patternFill>
      </fill>
    </dxf>
    <dxf>
      <font>
        <b/>
        <sz val="9"/>
        <color rgb="FF1A5CA8"/>
        <name val="Calibri"/>
        <charset val="1"/>
      </font>
      <fill>
        <patternFill>
          <bgColor rgb="FFDBEAFE"/>
        </patternFill>
      </fill>
    </dxf>
    <dxf>
      <font>
        <b/>
        <sz val="9"/>
        <color rgb="FF16A34A"/>
        <name val="Calibri"/>
        <charset val="1"/>
      </font>
      <fill>
        <patternFill>
          <bgColor rgb="FFDCFCE7"/>
        </patternFill>
      </fill>
    </dxf>
    <dxf>
      <font>
        <sz val="9"/>
        <color rgb="FF6678A0"/>
        <name val="Calibri"/>
        <charset val="1"/>
      </font>
      <fill>
        <patternFill>
          <bgColor rgb="FFF4F7F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0547A"/>
      <rgbColor rgb="FFDBEAFE"/>
      <rgbColor rgb="FF808080"/>
      <rgbColor rgb="FF9999FF"/>
      <rgbColor rgb="FFB91C1C"/>
      <rgbColor rgb="FFFEF3C7"/>
      <rgbColor rgb="FFDCFCE7"/>
      <rgbColor rgb="FF660066"/>
      <rgbColor rgb="FFFF8080"/>
      <rgbColor rgb="FF1A5CA8"/>
      <rgbColor rgb="FFD0DCF0"/>
      <rgbColor rgb="FF000080"/>
      <rgbColor rgb="FFFF00FF"/>
      <rgbColor rgb="FFFFFF00"/>
      <rgbColor rgb="FF00FFFF"/>
      <rgbColor rgb="FF800080"/>
      <rgbColor rgb="FF800000"/>
      <rgbColor rgb="FF008080"/>
      <rgbColor rgb="FF0000FF"/>
      <rgbColor rgb="FF00AEEF"/>
      <rgbColor rgb="FFE0F5FF"/>
      <rgbColor rgb="FFE1F5EE"/>
      <rgbColor rgb="FFF4F7FB"/>
      <rgbColor rgb="FFEDE9FE"/>
      <rgbColor rgb="FFEFF6FF"/>
      <rgbColor rgb="FFCC99FF"/>
      <rgbColor rgb="FFFEE2E2"/>
      <rgbColor rgb="FF3366FF"/>
      <rgbColor rgb="FF33CCCC"/>
      <rgbColor rgb="FF99CC00"/>
      <rgbColor rgb="FFFFCC00"/>
      <rgbColor rgb="FFC9860A"/>
      <rgbColor rgb="FFFF6600"/>
      <rgbColor rgb="FF6678A0"/>
      <rgbColor rgb="FF969696"/>
      <rgbColor rgb="FF0A1F5C"/>
      <rgbColor rgb="FF16A34A"/>
      <rgbColor rgb="FF0D5050"/>
      <rgbColor rgb="FF333300"/>
      <rgbColor rgb="FF7A4A00"/>
      <rgbColor rgb="FF993366"/>
      <rgbColor rgb="FF4B5563"/>
      <rgbColor rgb="FF1A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
  <sheetViews>
    <sheetView showGridLines="0" showRowColHeaders="0" tabSelected="1" zoomScaleNormal="100" workbookViewId="0">
      <selection sqref="A1:H2"/>
    </sheetView>
  </sheetViews>
  <sheetFormatPr defaultColWidth="8.7109375" defaultRowHeight="15" x14ac:dyDescent="0.25"/>
  <cols>
    <col min="1" max="1" width="3" customWidth="1"/>
    <col min="2" max="2" width="22" customWidth="1"/>
    <col min="3" max="4" width="28" customWidth="1"/>
    <col min="5" max="7" width="22" customWidth="1"/>
    <col min="8" max="8" width="18" customWidth="1"/>
  </cols>
  <sheetData>
    <row r="1" spans="1:8" ht="36" customHeight="1" x14ac:dyDescent="0.25">
      <c r="A1" s="14" t="s">
        <v>0</v>
      </c>
      <c r="B1" s="14"/>
      <c r="C1" s="14"/>
      <c r="D1" s="14"/>
      <c r="E1" s="14"/>
      <c r="F1" s="14"/>
      <c r="G1" s="14"/>
      <c r="H1" s="14"/>
    </row>
    <row r="2" spans="1:8" ht="3.75" customHeight="1" x14ac:dyDescent="0.25">
      <c r="A2" s="14"/>
      <c r="B2" s="14"/>
      <c r="C2" s="14"/>
      <c r="D2" s="14"/>
      <c r="E2" s="14"/>
      <c r="F2" s="14"/>
      <c r="G2" s="14"/>
      <c r="H2" s="14"/>
    </row>
    <row r="3" spans="1:8" ht="18" customHeight="1" x14ac:dyDescent="0.25">
      <c r="A3" s="13" t="s">
        <v>1</v>
      </c>
      <c r="B3" s="13"/>
      <c r="C3" s="13"/>
      <c r="D3" s="13"/>
      <c r="E3" s="13"/>
      <c r="F3" s="13"/>
      <c r="G3" s="13"/>
      <c r="H3" s="13"/>
    </row>
    <row r="4" spans="1:8" ht="7.5" customHeight="1" x14ac:dyDescent="0.25"/>
    <row r="5" spans="1:8" ht="24" customHeight="1" x14ac:dyDescent="0.25">
      <c r="A5" s="15"/>
      <c r="B5" s="12" t="s">
        <v>2</v>
      </c>
      <c r="C5" s="12"/>
      <c r="D5" s="12"/>
      <c r="E5" s="12"/>
      <c r="F5" s="12"/>
      <c r="G5" s="12"/>
      <c r="H5" s="12"/>
    </row>
    <row r="6" spans="1:8" ht="18" customHeight="1" x14ac:dyDescent="0.25">
      <c r="A6" s="16"/>
      <c r="B6" s="11" t="s">
        <v>3</v>
      </c>
      <c r="C6" s="11"/>
      <c r="D6" s="11"/>
      <c r="E6" s="11"/>
      <c r="F6" s="11"/>
      <c r="G6" s="11"/>
      <c r="H6" s="11"/>
    </row>
    <row r="7" spans="1:8" ht="31.5" customHeight="1" x14ac:dyDescent="0.25">
      <c r="A7" s="18"/>
      <c r="B7" s="19" t="s">
        <v>4</v>
      </c>
      <c r="C7" s="10" t="s">
        <v>5</v>
      </c>
      <c r="D7" s="10"/>
      <c r="E7" s="10"/>
      <c r="F7" s="10"/>
      <c r="G7" s="10"/>
      <c r="H7" s="10"/>
    </row>
    <row r="8" spans="1:8" ht="27.75" customHeight="1" x14ac:dyDescent="0.25">
      <c r="A8" s="21"/>
      <c r="B8" s="22" t="s">
        <v>6</v>
      </c>
      <c r="C8" s="9" t="s">
        <v>7</v>
      </c>
      <c r="D8" s="9"/>
      <c r="E8" s="9"/>
      <c r="F8" s="9"/>
      <c r="G8" s="9"/>
      <c r="H8" s="9"/>
    </row>
    <row r="9" spans="1:8" ht="27.75" customHeight="1" x14ac:dyDescent="0.25">
      <c r="A9" s="18"/>
      <c r="B9" s="19" t="s">
        <v>8</v>
      </c>
      <c r="C9" s="10" t="s">
        <v>9</v>
      </c>
      <c r="D9" s="10"/>
      <c r="E9" s="10"/>
      <c r="F9" s="10"/>
      <c r="G9" s="10"/>
      <c r="H9" s="10"/>
    </row>
    <row r="10" spans="1:8" ht="27.75" customHeight="1" x14ac:dyDescent="0.25">
      <c r="A10" s="21"/>
      <c r="B10" s="22" t="s">
        <v>10</v>
      </c>
      <c r="C10" s="9" t="s">
        <v>11</v>
      </c>
      <c r="D10" s="9"/>
      <c r="E10" s="9"/>
      <c r="F10" s="9"/>
      <c r="G10" s="9"/>
      <c r="H10" s="9"/>
    </row>
    <row r="11" spans="1:8" ht="12" customHeight="1" x14ac:dyDescent="0.25"/>
    <row r="12" spans="1:8" ht="7.5" customHeight="1" x14ac:dyDescent="0.25"/>
    <row r="13" spans="1:8" ht="24" customHeight="1" x14ac:dyDescent="0.25">
      <c r="A13" s="24"/>
      <c r="B13" s="8" t="s">
        <v>12</v>
      </c>
      <c r="C13" s="8"/>
      <c r="D13" s="8"/>
      <c r="E13" s="8"/>
      <c r="F13" s="8"/>
      <c r="G13" s="8"/>
      <c r="H13" s="8"/>
    </row>
    <row r="14" spans="1:8" ht="18" customHeight="1" x14ac:dyDescent="0.25">
      <c r="A14" s="16"/>
      <c r="B14" s="11" t="s">
        <v>13</v>
      </c>
      <c r="C14" s="11"/>
      <c r="D14" s="11"/>
      <c r="E14" s="11"/>
      <c r="F14" s="11"/>
      <c r="G14" s="11"/>
      <c r="H14" s="11"/>
    </row>
    <row r="15" spans="1:8" ht="27.75" customHeight="1" x14ac:dyDescent="0.25">
      <c r="A15" s="25" t="s">
        <v>14</v>
      </c>
      <c r="B15" s="26" t="s">
        <v>15</v>
      </c>
      <c r="C15" s="9" t="s">
        <v>16</v>
      </c>
      <c r="D15" s="9"/>
      <c r="E15" s="9"/>
      <c r="F15" s="9"/>
      <c r="G15" s="9"/>
      <c r="H15" s="9"/>
    </row>
    <row r="16" spans="1:8" ht="27.75" customHeight="1" x14ac:dyDescent="0.25">
      <c r="A16" s="27" t="s">
        <v>17</v>
      </c>
      <c r="B16" s="28" t="s">
        <v>18</v>
      </c>
      <c r="C16" s="10" t="s">
        <v>19</v>
      </c>
      <c r="D16" s="10"/>
      <c r="E16" s="10"/>
      <c r="F16" s="10"/>
      <c r="G16" s="10"/>
      <c r="H16" s="10"/>
    </row>
    <row r="17" spans="1:8" ht="27.75" customHeight="1" x14ac:dyDescent="0.25">
      <c r="A17" s="29" t="s">
        <v>20</v>
      </c>
      <c r="B17" s="30" t="s">
        <v>21</v>
      </c>
      <c r="C17" s="9" t="s">
        <v>22</v>
      </c>
      <c r="D17" s="9"/>
      <c r="E17" s="9"/>
      <c r="F17" s="9"/>
      <c r="G17" s="9"/>
      <c r="H17" s="9"/>
    </row>
    <row r="18" spans="1:8" ht="27.75" customHeight="1" x14ac:dyDescent="0.25">
      <c r="A18" s="31" t="s">
        <v>23</v>
      </c>
      <c r="B18" s="32" t="s">
        <v>24</v>
      </c>
      <c r="C18" s="10" t="s">
        <v>25</v>
      </c>
      <c r="D18" s="10"/>
      <c r="E18" s="10"/>
      <c r="F18" s="10"/>
      <c r="G18" s="10"/>
      <c r="H18" s="10"/>
    </row>
    <row r="19" spans="1:8" ht="27.75" customHeight="1" x14ac:dyDescent="0.25">
      <c r="A19" s="25" t="s">
        <v>26</v>
      </c>
      <c r="B19" s="26" t="s">
        <v>27</v>
      </c>
      <c r="C19" s="9" t="s">
        <v>28</v>
      </c>
      <c r="D19" s="9"/>
      <c r="E19" s="9"/>
      <c r="F19" s="9"/>
      <c r="G19" s="9"/>
      <c r="H19" s="9"/>
    </row>
    <row r="20" spans="1:8" ht="27.75" customHeight="1" x14ac:dyDescent="0.25">
      <c r="A20" s="27" t="s">
        <v>29</v>
      </c>
      <c r="B20" s="28" t="s">
        <v>30</v>
      </c>
      <c r="C20" s="10" t="s">
        <v>31</v>
      </c>
      <c r="D20" s="10"/>
      <c r="E20" s="10"/>
      <c r="F20" s="10"/>
      <c r="G20" s="10"/>
      <c r="H20" s="10"/>
    </row>
    <row r="21" spans="1:8" ht="27.75" customHeight="1" x14ac:dyDescent="0.25">
      <c r="A21" s="29" t="s">
        <v>32</v>
      </c>
      <c r="B21" s="30" t="s">
        <v>33</v>
      </c>
      <c r="C21" s="9" t="s">
        <v>34</v>
      </c>
      <c r="D21" s="9"/>
      <c r="E21" s="9"/>
      <c r="F21" s="9"/>
      <c r="G21" s="9"/>
      <c r="H21" s="9"/>
    </row>
    <row r="22" spans="1:8" ht="12" customHeight="1" x14ac:dyDescent="0.25"/>
    <row r="23" spans="1:8" ht="7.5" customHeight="1" x14ac:dyDescent="0.25"/>
    <row r="24" spans="1:8" ht="24" customHeight="1" x14ac:dyDescent="0.25">
      <c r="A24" s="15"/>
      <c r="B24" s="12" t="s">
        <v>35</v>
      </c>
      <c r="C24" s="12"/>
      <c r="D24" s="12"/>
      <c r="E24" s="12"/>
      <c r="F24" s="12"/>
      <c r="G24" s="12"/>
      <c r="H24" s="12"/>
    </row>
    <row r="25" spans="1:8" ht="18" customHeight="1" x14ac:dyDescent="0.25">
      <c r="A25" s="16"/>
      <c r="B25" s="11" t="s">
        <v>36</v>
      </c>
      <c r="C25" s="11"/>
      <c r="D25" s="11"/>
      <c r="E25" s="11"/>
      <c r="F25" s="11"/>
      <c r="G25" s="11"/>
      <c r="H25" s="11"/>
    </row>
    <row r="26" spans="1:8" ht="25.5" customHeight="1" x14ac:dyDescent="0.25">
      <c r="A26" s="18"/>
      <c r="B26" s="19" t="s">
        <v>37</v>
      </c>
      <c r="C26" s="10" t="s">
        <v>38</v>
      </c>
      <c r="D26" s="10"/>
      <c r="E26" s="10"/>
      <c r="F26" s="10"/>
      <c r="G26" s="10"/>
      <c r="H26" s="10"/>
    </row>
    <row r="27" spans="1:8" ht="25.5" customHeight="1" x14ac:dyDescent="0.25">
      <c r="A27" s="21"/>
      <c r="B27" s="22" t="s">
        <v>39</v>
      </c>
      <c r="C27" s="9" t="s">
        <v>40</v>
      </c>
      <c r="D27" s="9"/>
      <c r="E27" s="9"/>
      <c r="F27" s="9"/>
      <c r="G27" s="9"/>
      <c r="H27" s="9"/>
    </row>
    <row r="28" spans="1:8" ht="25.5" customHeight="1" x14ac:dyDescent="0.25">
      <c r="A28" s="18"/>
      <c r="B28" s="19" t="s">
        <v>41</v>
      </c>
      <c r="C28" s="10" t="s">
        <v>42</v>
      </c>
      <c r="D28" s="10"/>
      <c r="E28" s="10"/>
      <c r="F28" s="10"/>
      <c r="G28" s="10"/>
      <c r="H28" s="10"/>
    </row>
    <row r="29" spans="1:8" ht="25.5" customHeight="1" x14ac:dyDescent="0.25">
      <c r="A29" s="21"/>
      <c r="B29" s="22" t="s">
        <v>43</v>
      </c>
      <c r="C29" s="9" t="s">
        <v>44</v>
      </c>
      <c r="D29" s="9"/>
      <c r="E29" s="9"/>
      <c r="F29" s="9"/>
      <c r="G29" s="9"/>
      <c r="H29" s="9"/>
    </row>
    <row r="30" spans="1:8" ht="25.5" customHeight="1" x14ac:dyDescent="0.25">
      <c r="A30" s="18"/>
      <c r="B30" s="19" t="s">
        <v>45</v>
      </c>
      <c r="C30" s="10" t="s">
        <v>46</v>
      </c>
      <c r="D30" s="10"/>
      <c r="E30" s="10"/>
      <c r="F30" s="10"/>
      <c r="G30" s="10"/>
      <c r="H30" s="10"/>
    </row>
    <row r="31" spans="1:8" ht="25.5" customHeight="1" x14ac:dyDescent="0.25">
      <c r="A31" s="21"/>
      <c r="B31" s="22" t="s">
        <v>47</v>
      </c>
      <c r="C31" s="9" t="s">
        <v>48</v>
      </c>
      <c r="D31" s="9"/>
      <c r="E31" s="9"/>
      <c r="F31" s="9"/>
      <c r="G31" s="9"/>
      <c r="H31" s="9"/>
    </row>
    <row r="32" spans="1:8" ht="25.5" customHeight="1" x14ac:dyDescent="0.25">
      <c r="A32" s="18"/>
      <c r="B32" s="19" t="s">
        <v>49</v>
      </c>
      <c r="C32" s="10" t="s">
        <v>50</v>
      </c>
      <c r="D32" s="10"/>
      <c r="E32" s="10"/>
      <c r="F32" s="10"/>
      <c r="G32" s="10"/>
      <c r="H32" s="10"/>
    </row>
    <row r="33" spans="1:8" ht="25.5" customHeight="1" x14ac:dyDescent="0.25">
      <c r="A33" s="21"/>
      <c r="B33" s="22" t="s">
        <v>51</v>
      </c>
      <c r="C33" s="9" t="s">
        <v>52</v>
      </c>
      <c r="D33" s="9"/>
      <c r="E33" s="9"/>
      <c r="F33" s="9"/>
      <c r="G33" s="9"/>
      <c r="H33" s="9"/>
    </row>
    <row r="34" spans="1:8" ht="25.5" customHeight="1" x14ac:dyDescent="0.25">
      <c r="A34" s="18"/>
      <c r="B34" s="19" t="s">
        <v>53</v>
      </c>
      <c r="C34" s="10" t="s">
        <v>54</v>
      </c>
      <c r="D34" s="10"/>
      <c r="E34" s="10"/>
      <c r="F34" s="10"/>
      <c r="G34" s="10"/>
      <c r="H34" s="10"/>
    </row>
    <row r="35" spans="1:8" ht="25.5" customHeight="1" x14ac:dyDescent="0.25">
      <c r="A35" s="21"/>
      <c r="B35" s="22" t="s">
        <v>55</v>
      </c>
      <c r="C35" s="9" t="s">
        <v>56</v>
      </c>
      <c r="D35" s="9"/>
      <c r="E35" s="9"/>
      <c r="F35" s="9"/>
      <c r="G35" s="9"/>
      <c r="H35" s="9"/>
    </row>
    <row r="36" spans="1:8" ht="25.5" customHeight="1" x14ac:dyDescent="0.25">
      <c r="A36" s="18"/>
      <c r="B36" s="19" t="s">
        <v>57</v>
      </c>
      <c r="C36" s="10" t="s">
        <v>58</v>
      </c>
      <c r="D36" s="10"/>
      <c r="E36" s="10"/>
      <c r="F36" s="10"/>
      <c r="G36" s="10"/>
      <c r="H36" s="10"/>
    </row>
    <row r="37" spans="1:8" ht="25.5" customHeight="1" x14ac:dyDescent="0.25">
      <c r="A37" s="21"/>
      <c r="B37" s="22" t="s">
        <v>59</v>
      </c>
      <c r="C37" s="9" t="s">
        <v>60</v>
      </c>
      <c r="D37" s="9"/>
      <c r="E37" s="9"/>
      <c r="F37" s="9"/>
      <c r="G37" s="9"/>
      <c r="H37" s="9"/>
    </row>
    <row r="38" spans="1:8" ht="25.5" customHeight="1" x14ac:dyDescent="0.25">
      <c r="A38" s="18"/>
      <c r="B38" s="19" t="s">
        <v>61</v>
      </c>
      <c r="C38" s="10" t="s">
        <v>62</v>
      </c>
      <c r="D38" s="10"/>
      <c r="E38" s="10"/>
      <c r="F38" s="10"/>
      <c r="G38" s="10"/>
      <c r="H38" s="10"/>
    </row>
    <row r="39" spans="1:8" ht="25.5" customHeight="1" x14ac:dyDescent="0.25">
      <c r="A39" s="21"/>
      <c r="B39" s="22" t="s">
        <v>63</v>
      </c>
      <c r="C39" s="9" t="s">
        <v>64</v>
      </c>
      <c r="D39" s="9"/>
      <c r="E39" s="9"/>
      <c r="F39" s="9"/>
      <c r="G39" s="9"/>
      <c r="H39" s="9"/>
    </row>
    <row r="40" spans="1:8" ht="25.5" customHeight="1" x14ac:dyDescent="0.25">
      <c r="A40" s="18"/>
      <c r="B40" s="19" t="s">
        <v>65</v>
      </c>
      <c r="C40" s="10" t="s">
        <v>66</v>
      </c>
      <c r="D40" s="10"/>
      <c r="E40" s="10"/>
      <c r="F40" s="10"/>
      <c r="G40" s="10"/>
      <c r="H40" s="10"/>
    </row>
    <row r="41" spans="1:8" ht="12" customHeight="1" x14ac:dyDescent="0.25"/>
    <row r="42" spans="1:8" ht="7.5" customHeight="1" x14ac:dyDescent="0.25"/>
    <row r="43" spans="1:8" ht="24" customHeight="1" x14ac:dyDescent="0.25">
      <c r="A43" s="15"/>
      <c r="B43" s="12" t="s">
        <v>67</v>
      </c>
      <c r="C43" s="12"/>
      <c r="D43" s="12"/>
      <c r="E43" s="12"/>
      <c r="F43" s="12"/>
      <c r="G43" s="12"/>
      <c r="H43" s="12"/>
    </row>
    <row r="44" spans="1:8" ht="25.5" customHeight="1" x14ac:dyDescent="0.25">
      <c r="A44" s="33"/>
      <c r="B44" s="34" t="s">
        <v>68</v>
      </c>
      <c r="C44" s="7" t="s">
        <v>69</v>
      </c>
      <c r="D44" s="7"/>
      <c r="E44" s="7"/>
      <c r="F44" s="7"/>
      <c r="G44" s="7"/>
      <c r="H44" s="7"/>
    </row>
    <row r="45" spans="1:8" ht="25.5" customHeight="1" x14ac:dyDescent="0.25">
      <c r="A45" s="35"/>
      <c r="B45" s="36" t="s">
        <v>70</v>
      </c>
      <c r="C45" s="6" t="s">
        <v>71</v>
      </c>
      <c r="D45" s="6"/>
      <c r="E45" s="6"/>
      <c r="F45" s="6"/>
      <c r="G45" s="6"/>
      <c r="H45" s="6"/>
    </row>
    <row r="46" spans="1:8" ht="25.5" customHeight="1" x14ac:dyDescent="0.25">
      <c r="A46" s="37"/>
      <c r="B46" s="38" t="s">
        <v>72</v>
      </c>
      <c r="C46" s="5" t="s">
        <v>73</v>
      </c>
      <c r="D46" s="5"/>
      <c r="E46" s="5"/>
      <c r="F46" s="5"/>
      <c r="G46" s="5"/>
      <c r="H46" s="5"/>
    </row>
    <row r="47" spans="1:8" ht="25.5" customHeight="1" x14ac:dyDescent="0.25">
      <c r="A47" s="39"/>
      <c r="B47" s="40" t="s">
        <v>74</v>
      </c>
      <c r="C47" s="4" t="s">
        <v>75</v>
      </c>
      <c r="D47" s="4"/>
      <c r="E47" s="4"/>
      <c r="F47" s="4"/>
      <c r="G47" s="4"/>
      <c r="H47" s="4"/>
    </row>
    <row r="48" spans="1:8" ht="25.5" customHeight="1" x14ac:dyDescent="0.25">
      <c r="A48" s="18"/>
      <c r="B48" s="41" t="s">
        <v>76</v>
      </c>
      <c r="C48" s="10" t="s">
        <v>77</v>
      </c>
      <c r="D48" s="10"/>
      <c r="E48" s="10"/>
      <c r="F48" s="10"/>
      <c r="G48" s="10"/>
      <c r="H48" s="10"/>
    </row>
    <row r="49" spans="1:8" ht="12" customHeight="1" x14ac:dyDescent="0.25"/>
    <row r="50" spans="1:8" ht="7.5" customHeight="1" x14ac:dyDescent="0.25"/>
    <row r="51" spans="1:8" ht="24" customHeight="1" x14ac:dyDescent="0.25">
      <c r="A51" s="24"/>
      <c r="B51" s="8" t="s">
        <v>78</v>
      </c>
      <c r="C51" s="8"/>
      <c r="D51" s="8"/>
      <c r="E51" s="8"/>
      <c r="F51" s="8"/>
      <c r="G51" s="8"/>
      <c r="H51" s="8"/>
    </row>
    <row r="52" spans="1:8" ht="25.5" customHeight="1" x14ac:dyDescent="0.25">
      <c r="A52" s="18"/>
      <c r="B52" s="19" t="s">
        <v>79</v>
      </c>
      <c r="C52" s="42" t="s">
        <v>80</v>
      </c>
      <c r="D52" s="10" t="s">
        <v>81</v>
      </c>
      <c r="E52" s="10"/>
      <c r="F52" s="10"/>
      <c r="G52" s="10"/>
      <c r="H52" s="10"/>
    </row>
    <row r="53" spans="1:8" ht="25.5" customHeight="1" x14ac:dyDescent="0.25">
      <c r="A53" s="21"/>
      <c r="B53" s="22" t="s">
        <v>82</v>
      </c>
      <c r="C53" s="43" t="s">
        <v>83</v>
      </c>
      <c r="D53" s="9" t="s">
        <v>84</v>
      </c>
      <c r="E53" s="9"/>
      <c r="F53" s="9"/>
      <c r="G53" s="9"/>
      <c r="H53" s="9"/>
    </row>
    <row r="54" spans="1:8" ht="25.5" customHeight="1" x14ac:dyDescent="0.25">
      <c r="A54" s="18"/>
      <c r="B54" s="19" t="s">
        <v>85</v>
      </c>
      <c r="C54" s="42" t="s">
        <v>86</v>
      </c>
      <c r="D54" s="10" t="s">
        <v>87</v>
      </c>
      <c r="E54" s="10"/>
      <c r="F54" s="10"/>
      <c r="G54" s="10"/>
      <c r="H54" s="10"/>
    </row>
    <row r="55" spans="1:8" ht="25.5" customHeight="1" x14ac:dyDescent="0.25">
      <c r="A55" s="21"/>
      <c r="B55" s="22" t="s">
        <v>88</v>
      </c>
      <c r="C55" s="43" t="s">
        <v>89</v>
      </c>
      <c r="D55" s="9" t="s">
        <v>90</v>
      </c>
      <c r="E55" s="9"/>
      <c r="F55" s="9"/>
      <c r="G55" s="9"/>
      <c r="H55" s="9"/>
    </row>
    <row r="56" spans="1:8" ht="25.5" customHeight="1" x14ac:dyDescent="0.25">
      <c r="A56" s="18"/>
      <c r="B56" s="19" t="s">
        <v>91</v>
      </c>
      <c r="C56" s="42" t="s">
        <v>92</v>
      </c>
      <c r="D56" s="10" t="s">
        <v>93</v>
      </c>
      <c r="E56" s="10"/>
      <c r="F56" s="10"/>
      <c r="G56" s="10"/>
      <c r="H56" s="10"/>
    </row>
    <row r="57" spans="1:8" ht="25.5" customHeight="1" x14ac:dyDescent="0.25">
      <c r="A57" s="21"/>
      <c r="B57" s="22" t="s">
        <v>94</v>
      </c>
      <c r="C57" s="43" t="s">
        <v>95</v>
      </c>
      <c r="D57" s="9" t="s">
        <v>96</v>
      </c>
      <c r="E57" s="9"/>
      <c r="F57" s="9"/>
      <c r="G57" s="9"/>
      <c r="H57" s="9"/>
    </row>
    <row r="58" spans="1:8" ht="25.5" customHeight="1" x14ac:dyDescent="0.25">
      <c r="A58" s="18"/>
      <c r="B58" s="19" t="s">
        <v>97</v>
      </c>
      <c r="C58" s="42" t="s">
        <v>98</v>
      </c>
      <c r="D58" s="10" t="s">
        <v>99</v>
      </c>
      <c r="E58" s="10"/>
      <c r="F58" s="10"/>
      <c r="G58" s="10"/>
      <c r="H58" s="10"/>
    </row>
    <row r="59" spans="1:8" ht="25.5" customHeight="1" x14ac:dyDescent="0.25">
      <c r="A59" s="21"/>
      <c r="B59" s="22" t="s">
        <v>100</v>
      </c>
      <c r="C59" s="43" t="s">
        <v>101</v>
      </c>
      <c r="D59" s="9" t="s">
        <v>102</v>
      </c>
      <c r="E59" s="9"/>
      <c r="F59" s="9"/>
      <c r="G59" s="9"/>
      <c r="H59" s="9"/>
    </row>
    <row r="60" spans="1:8" ht="25.5" customHeight="1" x14ac:dyDescent="0.25">
      <c r="A60" s="18"/>
      <c r="B60" s="19" t="s">
        <v>103</v>
      </c>
      <c r="C60" s="42" t="s">
        <v>104</v>
      </c>
      <c r="D60" s="10" t="s">
        <v>105</v>
      </c>
      <c r="E60" s="10"/>
      <c r="F60" s="10"/>
      <c r="G60" s="10"/>
      <c r="H60" s="10"/>
    </row>
    <row r="61" spans="1:8" ht="25.5" customHeight="1" x14ac:dyDescent="0.25">
      <c r="A61" s="21"/>
      <c r="B61" s="22" t="s">
        <v>106</v>
      </c>
      <c r="C61" s="43" t="s">
        <v>107</v>
      </c>
      <c r="D61" s="9" t="s">
        <v>108</v>
      </c>
      <c r="E61" s="9"/>
      <c r="F61" s="9"/>
      <c r="G61" s="9"/>
      <c r="H61" s="9"/>
    </row>
    <row r="62" spans="1:8" ht="25.5" customHeight="1" x14ac:dyDescent="0.25">
      <c r="A62" s="18"/>
      <c r="B62" s="19" t="s">
        <v>109</v>
      </c>
      <c r="C62" s="42" t="s">
        <v>110</v>
      </c>
      <c r="D62" s="10" t="s">
        <v>111</v>
      </c>
      <c r="E62" s="10"/>
      <c r="F62" s="10"/>
      <c r="G62" s="10"/>
      <c r="H62" s="10"/>
    </row>
    <row r="63" spans="1:8" ht="25.5" customHeight="1" x14ac:dyDescent="0.25">
      <c r="A63" s="21"/>
      <c r="B63" s="22" t="s">
        <v>112</v>
      </c>
      <c r="C63" s="43" t="s">
        <v>113</v>
      </c>
      <c r="D63" s="9" t="s">
        <v>114</v>
      </c>
      <c r="E63" s="9"/>
      <c r="F63" s="9"/>
      <c r="G63" s="9"/>
      <c r="H63" s="9"/>
    </row>
    <row r="64" spans="1:8" ht="12" customHeight="1" x14ac:dyDescent="0.25"/>
    <row r="65" spans="1:8" ht="7.5" customHeight="1" x14ac:dyDescent="0.25"/>
    <row r="66" spans="1:8" ht="24" customHeight="1" x14ac:dyDescent="0.25">
      <c r="A66" s="15"/>
      <c r="B66" s="12" t="s">
        <v>115</v>
      </c>
      <c r="C66" s="12"/>
      <c r="D66" s="12"/>
      <c r="E66" s="12"/>
      <c r="F66" s="12"/>
      <c r="G66" s="12"/>
      <c r="H66" s="12"/>
    </row>
    <row r="67" spans="1:8" ht="36" customHeight="1" x14ac:dyDescent="0.25">
      <c r="A67" s="18"/>
      <c r="B67" s="19" t="s">
        <v>116</v>
      </c>
      <c r="C67" s="10" t="s">
        <v>117</v>
      </c>
      <c r="D67" s="10"/>
      <c r="E67" s="10"/>
      <c r="F67" s="10"/>
      <c r="G67" s="10"/>
      <c r="H67" s="10"/>
    </row>
    <row r="68" spans="1:8" ht="36" customHeight="1" x14ac:dyDescent="0.25">
      <c r="A68" s="21"/>
      <c r="B68" s="22" t="s">
        <v>118</v>
      </c>
      <c r="C68" s="9" t="s">
        <v>119</v>
      </c>
      <c r="D68" s="9"/>
      <c r="E68" s="9"/>
      <c r="F68" s="9"/>
      <c r="G68" s="9"/>
      <c r="H68" s="9"/>
    </row>
    <row r="69" spans="1:8" ht="36" customHeight="1" x14ac:dyDescent="0.25">
      <c r="A69" s="18"/>
      <c r="B69" s="19" t="s">
        <v>120</v>
      </c>
      <c r="C69" s="10" t="s">
        <v>121</v>
      </c>
      <c r="D69" s="10"/>
      <c r="E69" s="10"/>
      <c r="F69" s="10"/>
      <c r="G69" s="10"/>
      <c r="H69" s="10"/>
    </row>
    <row r="70" spans="1:8" ht="36" customHeight="1" x14ac:dyDescent="0.25">
      <c r="A70" s="21"/>
      <c r="B70" s="22" t="s">
        <v>122</v>
      </c>
      <c r="C70" s="9" t="s">
        <v>123</v>
      </c>
      <c r="D70" s="9"/>
      <c r="E70" s="9"/>
      <c r="F70" s="9"/>
      <c r="G70" s="9"/>
      <c r="H70" s="9"/>
    </row>
    <row r="71" spans="1:8" ht="36" customHeight="1" x14ac:dyDescent="0.25">
      <c r="A71" s="18"/>
      <c r="B71" s="19" t="s">
        <v>124</v>
      </c>
      <c r="C71" s="10" t="s">
        <v>125</v>
      </c>
      <c r="D71" s="10"/>
      <c r="E71" s="10"/>
      <c r="F71" s="10"/>
      <c r="G71" s="10"/>
      <c r="H71" s="10"/>
    </row>
    <row r="72" spans="1:8" ht="36" customHeight="1" x14ac:dyDescent="0.25">
      <c r="A72" s="21"/>
      <c r="B72" s="22" t="s">
        <v>126</v>
      </c>
      <c r="C72" s="9" t="s">
        <v>127</v>
      </c>
      <c r="D72" s="9"/>
      <c r="E72" s="9"/>
      <c r="F72" s="9"/>
      <c r="G72" s="9"/>
      <c r="H72" s="9"/>
    </row>
    <row r="73" spans="1:8" ht="36" customHeight="1" x14ac:dyDescent="0.25">
      <c r="A73" s="18"/>
      <c r="B73" s="19" t="s">
        <v>128</v>
      </c>
      <c r="C73" s="10" t="s">
        <v>129</v>
      </c>
      <c r="D73" s="10"/>
      <c r="E73" s="10"/>
      <c r="F73" s="10"/>
      <c r="G73" s="10"/>
      <c r="H73" s="10"/>
    </row>
    <row r="74" spans="1:8" ht="12" customHeight="1" x14ac:dyDescent="0.25"/>
    <row r="75" spans="1:8" ht="7.5" customHeight="1" x14ac:dyDescent="0.25"/>
    <row r="76" spans="1:8" ht="24" customHeight="1" x14ac:dyDescent="0.25">
      <c r="A76" s="24"/>
      <c r="B76" s="8" t="s">
        <v>130</v>
      </c>
      <c r="C76" s="8"/>
      <c r="D76" s="8"/>
      <c r="E76" s="8"/>
      <c r="F76" s="8"/>
      <c r="G76" s="8"/>
      <c r="H76" s="8"/>
    </row>
    <row r="77" spans="1:8" ht="30" customHeight="1" x14ac:dyDescent="0.25">
      <c r="A77" s="18"/>
      <c r="B77" s="44" t="s">
        <v>131</v>
      </c>
      <c r="C77" s="10" t="s">
        <v>132</v>
      </c>
      <c r="D77" s="10"/>
      <c r="E77" s="10"/>
      <c r="F77" s="10"/>
      <c r="G77" s="10"/>
      <c r="H77" s="10"/>
    </row>
    <row r="78" spans="1:8" ht="30" customHeight="1" x14ac:dyDescent="0.25">
      <c r="A78" s="21"/>
      <c r="B78" s="45" t="s">
        <v>133</v>
      </c>
      <c r="C78" s="9" t="s">
        <v>134</v>
      </c>
      <c r="D78" s="9"/>
      <c r="E78" s="9"/>
      <c r="F78" s="9"/>
      <c r="G78" s="9"/>
      <c r="H78" s="9"/>
    </row>
    <row r="79" spans="1:8" ht="30" customHeight="1" x14ac:dyDescent="0.25">
      <c r="A79" s="18"/>
      <c r="B79" s="44" t="s">
        <v>135</v>
      </c>
      <c r="C79" s="10" t="s">
        <v>136</v>
      </c>
      <c r="D79" s="10"/>
      <c r="E79" s="10"/>
      <c r="F79" s="10"/>
      <c r="G79" s="10"/>
      <c r="H79" s="10"/>
    </row>
    <row r="80" spans="1:8" ht="30" customHeight="1" x14ac:dyDescent="0.25">
      <c r="A80" s="21"/>
      <c r="B80" s="45" t="s">
        <v>137</v>
      </c>
      <c r="C80" s="9" t="s">
        <v>138</v>
      </c>
      <c r="D80" s="9"/>
      <c r="E80" s="9"/>
      <c r="F80" s="9"/>
      <c r="G80" s="9"/>
      <c r="H80" s="9"/>
    </row>
    <row r="81" spans="1:8" ht="30" customHeight="1" x14ac:dyDescent="0.25">
      <c r="A81" s="18"/>
      <c r="B81" s="44" t="s">
        <v>139</v>
      </c>
      <c r="C81" s="10" t="s">
        <v>140</v>
      </c>
      <c r="D81" s="10"/>
      <c r="E81" s="10"/>
      <c r="F81" s="10"/>
      <c r="G81" s="10"/>
      <c r="H81" s="10"/>
    </row>
    <row r="82" spans="1:8" ht="30" customHeight="1" x14ac:dyDescent="0.25">
      <c r="A82" s="21"/>
      <c r="B82" s="45" t="s">
        <v>141</v>
      </c>
      <c r="C82" s="9" t="s">
        <v>142</v>
      </c>
      <c r="D82" s="9"/>
      <c r="E82" s="9"/>
      <c r="F82" s="9"/>
      <c r="G82" s="9"/>
      <c r="H82" s="9"/>
    </row>
    <row r="83" spans="1:8" ht="12" customHeight="1" x14ac:dyDescent="0.25"/>
    <row r="84" spans="1:8" ht="19.5" customHeight="1" x14ac:dyDescent="0.25">
      <c r="A84" s="3" t="s">
        <v>143</v>
      </c>
      <c r="B84" s="3"/>
      <c r="C84" s="3"/>
      <c r="D84" s="3"/>
      <c r="E84" s="3"/>
      <c r="F84" s="3"/>
      <c r="G84" s="3"/>
      <c r="H84" s="3"/>
    </row>
  </sheetData>
  <mergeCells count="69">
    <mergeCell ref="C80:H80"/>
    <mergeCell ref="C81:H81"/>
    <mergeCell ref="C82:H82"/>
    <mergeCell ref="A84:H84"/>
    <mergeCell ref="C73:H73"/>
    <mergeCell ref="B76:H76"/>
    <mergeCell ref="C77:H77"/>
    <mergeCell ref="C78:H78"/>
    <mergeCell ref="C79:H79"/>
    <mergeCell ref="C68:H68"/>
    <mergeCell ref="C69:H69"/>
    <mergeCell ref="C70:H70"/>
    <mergeCell ref="C71:H71"/>
    <mergeCell ref="C72:H72"/>
    <mergeCell ref="D61:H61"/>
    <mergeCell ref="D62:H62"/>
    <mergeCell ref="D63:H63"/>
    <mergeCell ref="B66:H66"/>
    <mergeCell ref="C67:H67"/>
    <mergeCell ref="D56:H56"/>
    <mergeCell ref="D57:H57"/>
    <mergeCell ref="D58:H58"/>
    <mergeCell ref="D59:H59"/>
    <mergeCell ref="D60:H60"/>
    <mergeCell ref="B51:H51"/>
    <mergeCell ref="D52:H52"/>
    <mergeCell ref="D53:H53"/>
    <mergeCell ref="D54:H54"/>
    <mergeCell ref="D55:H55"/>
    <mergeCell ref="C44:H44"/>
    <mergeCell ref="C45:H45"/>
    <mergeCell ref="C46:H46"/>
    <mergeCell ref="C47:H47"/>
    <mergeCell ref="C48:H48"/>
    <mergeCell ref="C37:H37"/>
    <mergeCell ref="C38:H38"/>
    <mergeCell ref="C39:H39"/>
    <mergeCell ref="C40:H40"/>
    <mergeCell ref="B43:H43"/>
    <mergeCell ref="C32:H32"/>
    <mergeCell ref="C33:H33"/>
    <mergeCell ref="C34:H34"/>
    <mergeCell ref="C35:H35"/>
    <mergeCell ref="C36:H36"/>
    <mergeCell ref="C27:H27"/>
    <mergeCell ref="C28:H28"/>
    <mergeCell ref="C29:H29"/>
    <mergeCell ref="C30:H30"/>
    <mergeCell ref="C31:H31"/>
    <mergeCell ref="C20:H20"/>
    <mergeCell ref="C21:H21"/>
    <mergeCell ref="B24:H24"/>
    <mergeCell ref="B25:H25"/>
    <mergeCell ref="C26:H26"/>
    <mergeCell ref="C15:H15"/>
    <mergeCell ref="C16:H16"/>
    <mergeCell ref="C17:H17"/>
    <mergeCell ref="C18:H18"/>
    <mergeCell ref="C19:H19"/>
    <mergeCell ref="C8:H8"/>
    <mergeCell ref="C9:H9"/>
    <mergeCell ref="C10:H10"/>
    <mergeCell ref="B13:H13"/>
    <mergeCell ref="B14:H14"/>
    <mergeCell ref="A1:H2"/>
    <mergeCell ref="A3:H3"/>
    <mergeCell ref="B5:H5"/>
    <mergeCell ref="B6:H6"/>
    <mergeCell ref="C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1"/>
  <sheetViews>
    <sheetView showGridLines="0" showRowColHeaders="0" tabSelected="1" zoomScaleNormal="100" workbookViewId="0">
      <pane ySplit="13" topLeftCell="A14" activePane="bottomLeft" state="frozen"/>
      <selection sqref="A1:H2"/>
      <selection pane="bottomLeft" sqref="A1:H2"/>
    </sheetView>
  </sheetViews>
  <sheetFormatPr defaultColWidth="8.7109375" defaultRowHeight="15" x14ac:dyDescent="0.25"/>
  <cols>
    <col min="1" max="1" width="11" customWidth="1"/>
    <col min="2" max="2" width="27" customWidth="1"/>
    <col min="3" max="3" width="9" customWidth="1"/>
    <col min="4" max="4" width="16" customWidth="1"/>
    <col min="5" max="5" width="22" customWidth="1"/>
    <col min="6" max="6" width="11" customWidth="1"/>
    <col min="7" max="7" width="54" customWidth="1"/>
    <col min="8" max="10" width="13" customWidth="1"/>
    <col min="11" max="11" width="7" customWidth="1"/>
    <col min="12" max="12" width="13" customWidth="1"/>
    <col min="13" max="13" width="24" customWidth="1"/>
    <col min="14" max="14" width="10" customWidth="1"/>
    <col min="15" max="15" width="16" customWidth="1"/>
    <col min="16" max="16" width="20" customWidth="1"/>
  </cols>
  <sheetData>
    <row r="1" spans="1:16" ht="4.5" customHeight="1" x14ac:dyDescent="0.25">
      <c r="A1" s="2"/>
      <c r="B1" s="2"/>
      <c r="C1" s="2"/>
      <c r="D1" s="2"/>
      <c r="E1" s="2"/>
      <c r="F1" s="2"/>
      <c r="G1" s="2"/>
      <c r="H1" s="2"/>
      <c r="I1" s="2"/>
      <c r="J1" s="2"/>
      <c r="K1" s="2"/>
      <c r="L1" s="2"/>
      <c r="M1" s="2"/>
      <c r="N1" s="2"/>
    </row>
    <row r="2" spans="1:16" ht="25.5" customHeight="1" x14ac:dyDescent="0.25">
      <c r="A2" s="2"/>
      <c r="B2" s="2"/>
      <c r="C2" s="2"/>
      <c r="D2" s="2"/>
      <c r="E2" s="2"/>
      <c r="F2" s="2"/>
      <c r="G2" s="2"/>
      <c r="H2" s="2"/>
      <c r="I2" s="2"/>
      <c r="J2" s="2"/>
      <c r="K2" s="2"/>
      <c r="L2" s="2"/>
      <c r="M2" s="2"/>
      <c r="N2" s="2"/>
      <c r="O2" s="46"/>
    </row>
    <row r="3" spans="1:16" ht="15.75" customHeight="1" x14ac:dyDescent="0.25">
      <c r="A3" s="11" t="s">
        <v>144</v>
      </c>
      <c r="B3" s="11"/>
      <c r="C3" s="11"/>
      <c r="D3" s="11"/>
      <c r="E3" s="11"/>
      <c r="F3" s="11"/>
      <c r="G3" s="11"/>
      <c r="H3" s="11"/>
      <c r="I3" s="11"/>
      <c r="J3" s="11"/>
      <c r="K3" s="11"/>
      <c r="L3" s="11"/>
      <c r="M3" s="11"/>
      <c r="N3" s="11"/>
      <c r="O3" s="17"/>
    </row>
    <row r="4" spans="1:16" ht="4.5" customHeight="1" x14ac:dyDescent="0.25">
      <c r="A4" s="1"/>
      <c r="B4" s="1"/>
      <c r="D4" s="1"/>
      <c r="E4" s="1"/>
      <c r="G4" s="1"/>
      <c r="H4" s="1"/>
      <c r="J4" s="1"/>
      <c r="K4" s="1"/>
      <c r="M4" s="1"/>
      <c r="N4" s="1"/>
    </row>
    <row r="5" spans="1:16" ht="24" customHeight="1" x14ac:dyDescent="0.25">
      <c r="A5" s="162" t="s">
        <v>145</v>
      </c>
      <c r="B5" s="162"/>
      <c r="C5" s="162"/>
      <c r="D5" s="162"/>
      <c r="E5" s="162"/>
      <c r="F5" s="163" t="s">
        <v>146</v>
      </c>
      <c r="G5" s="163"/>
      <c r="H5" s="163"/>
      <c r="I5" s="163"/>
      <c r="J5" s="163"/>
      <c r="K5" s="164" t="s">
        <v>147</v>
      </c>
      <c r="L5" s="164"/>
      <c r="M5" s="164"/>
      <c r="N5" s="164"/>
      <c r="O5" s="164"/>
    </row>
    <row r="6" spans="1:16" ht="15.75" customHeight="1" x14ac:dyDescent="0.25">
      <c r="A6" s="165" t="s">
        <v>148</v>
      </c>
      <c r="B6" s="165"/>
      <c r="C6" s="165"/>
      <c r="D6" s="165"/>
      <c r="E6" s="165"/>
      <c r="F6" s="166" t="s">
        <v>149</v>
      </c>
      <c r="G6" s="166"/>
      <c r="H6" s="166"/>
      <c r="I6" s="166"/>
      <c r="J6" s="166"/>
      <c r="K6" s="167" t="s">
        <v>150</v>
      </c>
      <c r="L6" s="167"/>
      <c r="M6" s="167"/>
      <c r="N6" s="167"/>
      <c r="O6" s="167"/>
    </row>
    <row r="7" spans="1:16" ht="19.5" customHeight="1" x14ac:dyDescent="0.25">
      <c r="A7" s="168" t="s">
        <v>151</v>
      </c>
      <c r="B7" s="168"/>
      <c r="C7" s="168"/>
      <c r="D7" s="168"/>
      <c r="E7" s="168"/>
      <c r="F7" s="169" t="s">
        <v>152</v>
      </c>
      <c r="G7" s="169"/>
      <c r="H7" s="169"/>
      <c r="I7" s="169"/>
      <c r="J7" s="169"/>
      <c r="K7" s="170" t="s">
        <v>153</v>
      </c>
      <c r="L7" s="170"/>
      <c r="M7" s="170"/>
      <c r="N7" s="170"/>
      <c r="O7" s="170"/>
    </row>
    <row r="8" spans="1:16" ht="19.5" customHeight="1" x14ac:dyDescent="0.25">
      <c r="A8" s="171" t="s">
        <v>154</v>
      </c>
      <c r="B8" s="171"/>
      <c r="C8" s="171"/>
      <c r="D8" s="171"/>
      <c r="E8" s="171"/>
      <c r="F8" s="172" t="s">
        <v>155</v>
      </c>
      <c r="G8" s="172"/>
      <c r="H8" s="172"/>
      <c r="I8" s="172"/>
      <c r="J8" s="172"/>
      <c r="K8" s="173" t="s">
        <v>156</v>
      </c>
      <c r="L8" s="173"/>
      <c r="M8" s="173"/>
      <c r="N8" s="173"/>
      <c r="O8" s="173"/>
    </row>
    <row r="9" spans="1:16" ht="19.5" customHeight="1" x14ac:dyDescent="0.25">
      <c r="A9" s="174" t="s">
        <v>157</v>
      </c>
      <c r="B9" s="174"/>
      <c r="C9" s="174"/>
      <c r="D9" s="174"/>
      <c r="E9" s="174"/>
      <c r="F9" s="175" t="s">
        <v>158</v>
      </c>
      <c r="G9" s="175"/>
      <c r="H9" s="175"/>
      <c r="I9" s="175"/>
      <c r="J9" s="175"/>
      <c r="K9" s="176" t="s">
        <v>159</v>
      </c>
      <c r="L9" s="176"/>
      <c r="M9" s="176"/>
      <c r="N9" s="176"/>
      <c r="O9" s="176"/>
    </row>
    <row r="10" spans="1:16" ht="19.5" customHeight="1" x14ac:dyDescent="0.25">
      <c r="A10" s="177" t="s">
        <v>160</v>
      </c>
      <c r="B10" s="177"/>
      <c r="C10" s="177"/>
      <c r="D10" s="177"/>
      <c r="E10" s="177"/>
      <c r="F10" s="178" t="s">
        <v>161</v>
      </c>
      <c r="G10" s="178"/>
      <c r="H10" s="178"/>
      <c r="I10" s="178"/>
      <c r="J10" s="178"/>
      <c r="K10" s="179" t="s">
        <v>162</v>
      </c>
      <c r="L10" s="179"/>
      <c r="M10" s="179"/>
      <c r="N10" s="179"/>
      <c r="O10" s="179"/>
    </row>
    <row r="11" spans="1:16" ht="21.75" customHeight="1" x14ac:dyDescent="0.25">
      <c r="A11" s="180" t="s">
        <v>163</v>
      </c>
      <c r="B11" s="180"/>
      <c r="C11" s="180"/>
      <c r="D11" s="180"/>
      <c r="E11" s="180"/>
      <c r="F11" s="180"/>
      <c r="G11" s="180"/>
      <c r="H11" s="180"/>
      <c r="I11" s="180"/>
      <c r="J11" s="180"/>
      <c r="K11" s="180"/>
      <c r="L11" s="180"/>
      <c r="M11" s="180"/>
      <c r="N11" s="180"/>
      <c r="O11" s="180"/>
    </row>
    <row r="12" spans="1:16" ht="4.5" customHeight="1" x14ac:dyDescent="0.25"/>
    <row r="13" spans="1:16" ht="27.75" customHeight="1" x14ac:dyDescent="0.25">
      <c r="A13" s="47" t="s">
        <v>164</v>
      </c>
      <c r="B13" s="47" t="s">
        <v>165</v>
      </c>
      <c r="C13" s="47" t="s">
        <v>166</v>
      </c>
      <c r="D13" s="47" t="s">
        <v>167</v>
      </c>
      <c r="E13" s="47" t="s">
        <v>168</v>
      </c>
      <c r="F13" s="47" t="s">
        <v>169</v>
      </c>
      <c r="G13" s="47" t="s">
        <v>170</v>
      </c>
      <c r="H13" s="47" t="s">
        <v>171</v>
      </c>
      <c r="I13" s="47" t="s">
        <v>172</v>
      </c>
      <c r="J13" s="47" t="s">
        <v>173</v>
      </c>
      <c r="K13" s="47" t="s">
        <v>174</v>
      </c>
      <c r="L13" s="47" t="s">
        <v>175</v>
      </c>
      <c r="M13" s="47" t="s">
        <v>176</v>
      </c>
      <c r="N13" s="47" t="s">
        <v>177</v>
      </c>
      <c r="O13" s="47" t="s">
        <v>178</v>
      </c>
      <c r="P13" s="47" t="s">
        <v>179</v>
      </c>
    </row>
    <row r="14" spans="1:16" ht="30" customHeight="1" x14ac:dyDescent="0.25">
      <c r="A14" s="48" t="s">
        <v>180</v>
      </c>
      <c r="B14" s="22" t="s">
        <v>181</v>
      </c>
      <c r="C14" s="49" t="s">
        <v>182</v>
      </c>
      <c r="D14" s="50" t="s">
        <v>183</v>
      </c>
      <c r="E14" s="51" t="s">
        <v>97</v>
      </c>
      <c r="F14" s="52" t="s">
        <v>184</v>
      </c>
      <c r="G14" s="23" t="s">
        <v>185</v>
      </c>
      <c r="H14" s="53" t="s">
        <v>186</v>
      </c>
      <c r="I14" s="54" t="s">
        <v>68</v>
      </c>
      <c r="J14" s="55"/>
      <c r="K14" s="53" t="s">
        <v>187</v>
      </c>
      <c r="L14" s="53"/>
      <c r="M14" s="56" t="s">
        <v>188</v>
      </c>
      <c r="N14" s="53" t="s">
        <v>189</v>
      </c>
      <c r="O14" s="57" t="str">
        <f>IFERROR(VLOOKUP(B6,'Year Calendar'!C:M,11,0),"Pending")</f>
        <v>Pending</v>
      </c>
      <c r="P14" s="58" t="s">
        <v>190</v>
      </c>
    </row>
    <row r="15" spans="1:16" ht="30" customHeight="1" x14ac:dyDescent="0.25">
      <c r="A15" s="59" t="s">
        <v>180</v>
      </c>
      <c r="B15" s="19" t="s">
        <v>181</v>
      </c>
      <c r="C15" s="49" t="s">
        <v>182</v>
      </c>
      <c r="D15" s="50" t="s">
        <v>183</v>
      </c>
      <c r="E15" s="60" t="s">
        <v>191</v>
      </c>
      <c r="F15" s="61" t="s">
        <v>184</v>
      </c>
      <c r="G15" s="20" t="s">
        <v>192</v>
      </c>
      <c r="H15" s="62" t="s">
        <v>193</v>
      </c>
      <c r="I15" s="54" t="s">
        <v>68</v>
      </c>
      <c r="J15" s="55"/>
      <c r="K15" s="62" t="s">
        <v>187</v>
      </c>
      <c r="L15" s="62"/>
      <c r="M15" s="63" t="s">
        <v>194</v>
      </c>
      <c r="N15" s="62" t="s">
        <v>195</v>
      </c>
      <c r="O15" s="64" t="str">
        <f>IFERROR(VLOOKUP(B7,'Year Calendar'!C:M,11,0),"Pending")</f>
        <v>Pending</v>
      </c>
      <c r="P15" s="58" t="s">
        <v>190</v>
      </c>
    </row>
    <row r="16" spans="1:16" ht="30" customHeight="1" x14ac:dyDescent="0.25">
      <c r="A16" s="48" t="s">
        <v>180</v>
      </c>
      <c r="B16" s="22" t="s">
        <v>181</v>
      </c>
      <c r="C16" s="49" t="s">
        <v>182</v>
      </c>
      <c r="D16" s="50" t="s">
        <v>183</v>
      </c>
      <c r="E16" s="60" t="s">
        <v>191</v>
      </c>
      <c r="F16" s="52" t="s">
        <v>184</v>
      </c>
      <c r="G16" s="23" t="s">
        <v>196</v>
      </c>
      <c r="H16" s="53" t="s">
        <v>193</v>
      </c>
      <c r="I16" s="54" t="s">
        <v>68</v>
      </c>
      <c r="J16" s="55"/>
      <c r="K16" s="53" t="s">
        <v>187</v>
      </c>
      <c r="L16" s="53"/>
      <c r="M16" s="65" t="s">
        <v>197</v>
      </c>
      <c r="N16" s="53" t="s">
        <v>198</v>
      </c>
      <c r="O16" s="57" t="str">
        <f>IFERROR(VLOOKUP(B8,'Year Calendar'!C:M,11,0),"Pending")</f>
        <v>Pending</v>
      </c>
      <c r="P16" s="58" t="s">
        <v>190</v>
      </c>
    </row>
    <row r="17" spans="1:16" ht="30" customHeight="1" x14ac:dyDescent="0.25">
      <c r="A17" s="59" t="s">
        <v>180</v>
      </c>
      <c r="B17" s="19" t="s">
        <v>181</v>
      </c>
      <c r="C17" s="49" t="s">
        <v>182</v>
      </c>
      <c r="D17" s="50" t="s">
        <v>183</v>
      </c>
      <c r="E17" s="51" t="s">
        <v>97</v>
      </c>
      <c r="F17" s="66" t="s">
        <v>199</v>
      </c>
      <c r="G17" s="20" t="s">
        <v>200</v>
      </c>
      <c r="H17" s="62" t="s">
        <v>201</v>
      </c>
      <c r="I17" s="54" t="s">
        <v>68</v>
      </c>
      <c r="J17" s="55"/>
      <c r="K17" s="62" t="s">
        <v>187</v>
      </c>
      <c r="L17" s="62"/>
      <c r="M17" s="67" t="s">
        <v>202</v>
      </c>
      <c r="N17" s="62" t="s">
        <v>203</v>
      </c>
      <c r="O17" s="64" t="str">
        <f>IFERROR(VLOOKUP(B9,'Year Calendar'!C:M,11,0),"Pending")</f>
        <v>Pending</v>
      </c>
      <c r="P17" s="58" t="s">
        <v>190</v>
      </c>
    </row>
    <row r="18" spans="1:16" ht="30" customHeight="1" x14ac:dyDescent="0.25">
      <c r="A18" s="48" t="s">
        <v>180</v>
      </c>
      <c r="B18" s="22" t="s">
        <v>181</v>
      </c>
      <c r="C18" s="49" t="s">
        <v>182</v>
      </c>
      <c r="D18" s="50" t="s">
        <v>183</v>
      </c>
      <c r="E18" s="60" t="s">
        <v>191</v>
      </c>
      <c r="F18" s="52" t="s">
        <v>184</v>
      </c>
      <c r="G18" s="23" t="s">
        <v>204</v>
      </c>
      <c r="H18" s="53" t="s">
        <v>205</v>
      </c>
      <c r="I18" s="54" t="s">
        <v>68</v>
      </c>
      <c r="J18" s="55"/>
      <c r="K18" s="53" t="s">
        <v>187</v>
      </c>
      <c r="L18" s="53"/>
      <c r="M18" s="65" t="s">
        <v>206</v>
      </c>
      <c r="N18" s="53" t="s">
        <v>207</v>
      </c>
      <c r="O18" s="57" t="str">
        <f>IFERROR(VLOOKUP(B10,'Year Calendar'!C:M,11,0),"Pending")</f>
        <v>Pending</v>
      </c>
      <c r="P18" s="58" t="s">
        <v>190</v>
      </c>
    </row>
    <row r="19" spans="1:16" ht="30" customHeight="1" x14ac:dyDescent="0.25">
      <c r="A19" s="59" t="s">
        <v>180</v>
      </c>
      <c r="B19" s="19" t="s">
        <v>181</v>
      </c>
      <c r="C19" s="49" t="s">
        <v>182</v>
      </c>
      <c r="D19" s="50" t="s">
        <v>183</v>
      </c>
      <c r="E19" s="51" t="s">
        <v>97</v>
      </c>
      <c r="F19" s="66" t="s">
        <v>199</v>
      </c>
      <c r="G19" s="20" t="s">
        <v>208</v>
      </c>
      <c r="H19" s="62" t="s">
        <v>209</v>
      </c>
      <c r="I19" s="54" t="s">
        <v>68</v>
      </c>
      <c r="J19" s="55"/>
      <c r="K19" s="62" t="s">
        <v>187</v>
      </c>
      <c r="L19" s="62"/>
      <c r="M19" s="67" t="s">
        <v>210</v>
      </c>
      <c r="N19" s="62" t="s">
        <v>211</v>
      </c>
      <c r="O19" s="64" t="str">
        <f>IFERROR(VLOOKUP(B11,'Year Calendar'!C:M,11,0),"Pending")</f>
        <v>Pending</v>
      </c>
      <c r="P19" s="58" t="s">
        <v>190</v>
      </c>
    </row>
    <row r="20" spans="1:16" ht="30" customHeight="1" x14ac:dyDescent="0.25">
      <c r="A20" s="48" t="s">
        <v>212</v>
      </c>
      <c r="B20" s="22" t="s">
        <v>213</v>
      </c>
      <c r="C20" s="49" t="s">
        <v>182</v>
      </c>
      <c r="D20" s="68" t="s">
        <v>214</v>
      </c>
      <c r="E20" s="69" t="s">
        <v>91</v>
      </c>
      <c r="F20" s="70" t="s">
        <v>199</v>
      </c>
      <c r="G20" s="23" t="s">
        <v>215</v>
      </c>
      <c r="H20" s="53" t="s">
        <v>216</v>
      </c>
      <c r="I20" s="54" t="s">
        <v>68</v>
      </c>
      <c r="J20" s="55"/>
      <c r="K20" s="53" t="s">
        <v>187</v>
      </c>
      <c r="L20" s="53"/>
      <c r="M20" s="56" t="s">
        <v>217</v>
      </c>
      <c r="N20" s="53" t="s">
        <v>218</v>
      </c>
      <c r="O20" s="57" t="str">
        <f>IFERROR(VLOOKUP(B12,'Year Calendar'!C:M,11,0),"Pending")</f>
        <v>Pending</v>
      </c>
      <c r="P20" s="58" t="s">
        <v>190</v>
      </c>
    </row>
    <row r="21" spans="1:16" ht="30" customHeight="1" x14ac:dyDescent="0.25">
      <c r="A21" s="59" t="s">
        <v>212</v>
      </c>
      <c r="B21" s="19" t="s">
        <v>213</v>
      </c>
      <c r="C21" s="49" t="s">
        <v>182</v>
      </c>
      <c r="D21" s="68" t="s">
        <v>214</v>
      </c>
      <c r="E21" s="60" t="s">
        <v>191</v>
      </c>
      <c r="F21" s="61" t="s">
        <v>184</v>
      </c>
      <c r="G21" s="20" t="s">
        <v>219</v>
      </c>
      <c r="H21" s="62" t="s">
        <v>186</v>
      </c>
      <c r="I21" s="54" t="s">
        <v>68</v>
      </c>
      <c r="J21" s="55"/>
      <c r="K21" s="62" t="s">
        <v>187</v>
      </c>
      <c r="L21" s="62"/>
      <c r="M21" s="63" t="s">
        <v>220</v>
      </c>
      <c r="N21" s="62" t="s">
        <v>221</v>
      </c>
      <c r="O21" s="64" t="str">
        <f>IFERROR(VLOOKUP(B13,'Year Calendar'!C:M,11,0),"Pending")</f>
        <v>Approval
Decision</v>
      </c>
      <c r="P21" s="58" t="s">
        <v>190</v>
      </c>
    </row>
    <row r="22" spans="1:16" ht="30" customHeight="1" x14ac:dyDescent="0.25">
      <c r="A22" s="48" t="s">
        <v>212</v>
      </c>
      <c r="B22" s="22" t="s">
        <v>213</v>
      </c>
      <c r="C22" s="49" t="s">
        <v>182</v>
      </c>
      <c r="D22" s="68" t="s">
        <v>214</v>
      </c>
      <c r="E22" s="60" t="s">
        <v>191</v>
      </c>
      <c r="F22" s="52" t="s">
        <v>184</v>
      </c>
      <c r="G22" s="23" t="s">
        <v>222</v>
      </c>
      <c r="H22" s="53" t="s">
        <v>186</v>
      </c>
      <c r="I22" s="54" t="s">
        <v>68</v>
      </c>
      <c r="J22" s="55"/>
      <c r="K22" s="53" t="s">
        <v>187</v>
      </c>
      <c r="L22" s="53"/>
      <c r="M22" s="65" t="s">
        <v>197</v>
      </c>
      <c r="N22" s="53" t="s">
        <v>223</v>
      </c>
      <c r="O22" s="57" t="str">
        <f>IFERROR(VLOOKUP(B14,'Year Calendar'!C:M,11,0),"Pending")</f>
        <v>Pending</v>
      </c>
      <c r="P22" s="58" t="s">
        <v>190</v>
      </c>
    </row>
    <row r="23" spans="1:16" ht="30" customHeight="1" x14ac:dyDescent="0.25">
      <c r="A23" s="59" t="s">
        <v>212</v>
      </c>
      <c r="B23" s="19" t="s">
        <v>213</v>
      </c>
      <c r="C23" s="49" t="s">
        <v>182</v>
      </c>
      <c r="D23" s="68" t="s">
        <v>214</v>
      </c>
      <c r="E23" s="69" t="s">
        <v>91</v>
      </c>
      <c r="F23" s="66" t="s">
        <v>199</v>
      </c>
      <c r="G23" s="20" t="s">
        <v>224</v>
      </c>
      <c r="H23" s="62" t="s">
        <v>225</v>
      </c>
      <c r="I23" s="54" t="s">
        <v>68</v>
      </c>
      <c r="J23" s="55"/>
      <c r="K23" s="62" t="s">
        <v>187</v>
      </c>
      <c r="L23" s="62"/>
      <c r="M23" s="67" t="s">
        <v>226</v>
      </c>
      <c r="N23" s="62" t="s">
        <v>227</v>
      </c>
      <c r="O23" s="64" t="str">
        <f>IFERROR(VLOOKUP(B15,'Year Calendar'!C:M,11,0),"Pending")</f>
        <v>Pending</v>
      </c>
      <c r="P23" s="58" t="s">
        <v>190</v>
      </c>
    </row>
    <row r="24" spans="1:16" ht="30" customHeight="1" x14ac:dyDescent="0.25">
      <c r="A24" s="48" t="s">
        <v>212</v>
      </c>
      <c r="B24" s="22" t="s">
        <v>213</v>
      </c>
      <c r="C24" s="49" t="s">
        <v>182</v>
      </c>
      <c r="D24" s="68" t="s">
        <v>214</v>
      </c>
      <c r="E24" s="71" t="s">
        <v>94</v>
      </c>
      <c r="F24" s="70" t="s">
        <v>199</v>
      </c>
      <c r="G24" s="23" t="s">
        <v>228</v>
      </c>
      <c r="H24" s="53" t="s">
        <v>225</v>
      </c>
      <c r="I24" s="54" t="s">
        <v>68</v>
      </c>
      <c r="J24" s="55"/>
      <c r="K24" s="53" t="s">
        <v>187</v>
      </c>
      <c r="L24" s="53"/>
      <c r="M24" s="56" t="s">
        <v>229</v>
      </c>
      <c r="N24" s="53" t="s">
        <v>230</v>
      </c>
      <c r="O24" s="57" t="str">
        <f>IFERROR(VLOOKUP(B16,'Year Calendar'!C:M,11,0),"Pending")</f>
        <v>Pending</v>
      </c>
      <c r="P24" s="58" t="s">
        <v>190</v>
      </c>
    </row>
    <row r="25" spans="1:16" ht="30" customHeight="1" x14ac:dyDescent="0.25">
      <c r="A25" s="59" t="s">
        <v>212</v>
      </c>
      <c r="B25" s="19" t="s">
        <v>213</v>
      </c>
      <c r="C25" s="49" t="s">
        <v>182</v>
      </c>
      <c r="D25" s="68" t="s">
        <v>214</v>
      </c>
      <c r="E25" s="51" t="s">
        <v>97</v>
      </c>
      <c r="F25" s="66" t="s">
        <v>199</v>
      </c>
      <c r="G25" s="20" t="s">
        <v>231</v>
      </c>
      <c r="H25" s="62" t="s">
        <v>232</v>
      </c>
      <c r="I25" s="54" t="s">
        <v>68</v>
      </c>
      <c r="J25" s="55"/>
      <c r="K25" s="62" t="s">
        <v>187</v>
      </c>
      <c r="L25" s="62"/>
      <c r="M25" s="67" t="s">
        <v>233</v>
      </c>
      <c r="N25" s="62" t="s">
        <v>234</v>
      </c>
      <c r="O25" s="64" t="str">
        <f>IFERROR(VLOOKUP(B17,'Year Calendar'!C:M,11,0),"Pending")</f>
        <v>Pending</v>
      </c>
      <c r="P25" s="58" t="s">
        <v>190</v>
      </c>
    </row>
    <row r="26" spans="1:16" ht="30" customHeight="1" x14ac:dyDescent="0.25">
      <c r="A26" s="48" t="s">
        <v>235</v>
      </c>
      <c r="B26" s="22" t="s">
        <v>236</v>
      </c>
      <c r="C26" s="49" t="s">
        <v>182</v>
      </c>
      <c r="D26" s="66" t="s">
        <v>237</v>
      </c>
      <c r="E26" s="71" t="s">
        <v>94</v>
      </c>
      <c r="F26" s="70" t="s">
        <v>199</v>
      </c>
      <c r="G26" s="23" t="s">
        <v>238</v>
      </c>
      <c r="H26" s="53" t="s">
        <v>239</v>
      </c>
      <c r="I26" s="54" t="s">
        <v>68</v>
      </c>
      <c r="J26" s="55"/>
      <c r="K26" s="53" t="s">
        <v>187</v>
      </c>
      <c r="L26" s="53"/>
      <c r="M26" s="56" t="s">
        <v>240</v>
      </c>
      <c r="N26" s="53" t="s">
        <v>241</v>
      </c>
      <c r="O26" s="57" t="str">
        <f>IFERROR(VLOOKUP(B18,'Year Calendar'!C:M,11,0),"Pending")</f>
        <v>Pending</v>
      </c>
      <c r="P26" s="49" t="s">
        <v>242</v>
      </c>
    </row>
    <row r="27" spans="1:16" ht="30" customHeight="1" x14ac:dyDescent="0.25">
      <c r="A27" s="59" t="s">
        <v>235</v>
      </c>
      <c r="B27" s="19" t="s">
        <v>236</v>
      </c>
      <c r="C27" s="49" t="s">
        <v>182</v>
      </c>
      <c r="D27" s="66" t="s">
        <v>237</v>
      </c>
      <c r="E27" s="71" t="s">
        <v>79</v>
      </c>
      <c r="F27" s="61" t="s">
        <v>184</v>
      </c>
      <c r="G27" s="20" t="s">
        <v>243</v>
      </c>
      <c r="H27" s="62" t="s">
        <v>186</v>
      </c>
      <c r="I27" s="54" t="s">
        <v>68</v>
      </c>
      <c r="J27" s="55"/>
      <c r="K27" s="62" t="s">
        <v>187</v>
      </c>
      <c r="L27" s="62"/>
      <c r="M27" s="67" t="s">
        <v>244</v>
      </c>
      <c r="N27" s="62" t="s">
        <v>245</v>
      </c>
      <c r="O27" s="64" t="str">
        <f>IFERROR(VLOOKUP(B19,'Year Calendar'!C:M,11,0),"Pending")</f>
        <v>Pending</v>
      </c>
      <c r="P27" s="49" t="s">
        <v>242</v>
      </c>
    </row>
    <row r="28" spans="1:16" ht="30" customHeight="1" x14ac:dyDescent="0.25">
      <c r="A28" s="48" t="s">
        <v>235</v>
      </c>
      <c r="B28" s="22" t="s">
        <v>236</v>
      </c>
      <c r="C28" s="49" t="s">
        <v>182</v>
      </c>
      <c r="D28" s="66" t="s">
        <v>237</v>
      </c>
      <c r="E28" s="71" t="s">
        <v>79</v>
      </c>
      <c r="F28" s="52" t="s">
        <v>184</v>
      </c>
      <c r="G28" s="23" t="s">
        <v>246</v>
      </c>
      <c r="H28" s="53" t="s">
        <v>186</v>
      </c>
      <c r="I28" s="54" t="s">
        <v>68</v>
      </c>
      <c r="J28" s="55"/>
      <c r="K28" s="53" t="s">
        <v>187</v>
      </c>
      <c r="L28" s="53"/>
      <c r="M28" s="56" t="s">
        <v>247</v>
      </c>
      <c r="N28" s="53" t="s">
        <v>248</v>
      </c>
      <c r="O28" s="57" t="str">
        <f>IFERROR(VLOOKUP(B20,'Year Calendar'!C:M,11,0),"Pending")</f>
        <v>Pending</v>
      </c>
      <c r="P28" s="49" t="s">
        <v>242</v>
      </c>
    </row>
    <row r="29" spans="1:16" ht="30" customHeight="1" x14ac:dyDescent="0.25">
      <c r="A29" s="59" t="s">
        <v>235</v>
      </c>
      <c r="B29" s="19" t="s">
        <v>236</v>
      </c>
      <c r="C29" s="49" t="s">
        <v>182</v>
      </c>
      <c r="D29" s="66" t="s">
        <v>237</v>
      </c>
      <c r="E29" s="71" t="s">
        <v>79</v>
      </c>
      <c r="F29" s="61" t="s">
        <v>184</v>
      </c>
      <c r="G29" s="20" t="s">
        <v>249</v>
      </c>
      <c r="H29" s="62" t="s">
        <v>250</v>
      </c>
      <c r="I29" s="54" t="s">
        <v>68</v>
      </c>
      <c r="J29" s="55"/>
      <c r="K29" s="62" t="s">
        <v>187</v>
      </c>
      <c r="L29" s="62"/>
      <c r="M29" s="67" t="s">
        <v>251</v>
      </c>
      <c r="N29" s="62" t="s">
        <v>252</v>
      </c>
      <c r="O29" s="64" t="str">
        <f>IFERROR(VLOOKUP(B21,'Year Calendar'!C:M,11,0),"Pending")</f>
        <v>Pending</v>
      </c>
      <c r="P29" s="49" t="s">
        <v>242</v>
      </c>
    </row>
    <row r="30" spans="1:16" ht="30" customHeight="1" x14ac:dyDescent="0.25">
      <c r="A30" s="48" t="s">
        <v>235</v>
      </c>
      <c r="B30" s="22" t="s">
        <v>236</v>
      </c>
      <c r="C30" s="49" t="s">
        <v>182</v>
      </c>
      <c r="D30" s="72" t="s">
        <v>253</v>
      </c>
      <c r="E30" s="73" t="s">
        <v>88</v>
      </c>
      <c r="F30" s="70" t="s">
        <v>199</v>
      </c>
      <c r="G30" s="23" t="s">
        <v>254</v>
      </c>
      <c r="H30" s="53" t="s">
        <v>250</v>
      </c>
      <c r="I30" s="54" t="s">
        <v>68</v>
      </c>
      <c r="J30" s="55"/>
      <c r="K30" s="53" t="s">
        <v>187</v>
      </c>
      <c r="L30" s="53"/>
      <c r="M30" s="56" t="s">
        <v>255</v>
      </c>
      <c r="N30" s="53" t="s">
        <v>256</v>
      </c>
      <c r="O30" s="57" t="str">
        <f>IFERROR(VLOOKUP(B22,'Year Calendar'!C:M,11,0),"Pending")</f>
        <v>Pending</v>
      </c>
      <c r="P30" s="49" t="s">
        <v>242</v>
      </c>
    </row>
    <row r="31" spans="1:16" ht="30" customHeight="1" x14ac:dyDescent="0.25">
      <c r="A31" s="59" t="s">
        <v>235</v>
      </c>
      <c r="B31" s="19" t="s">
        <v>236</v>
      </c>
      <c r="C31" s="49" t="s">
        <v>182</v>
      </c>
      <c r="D31" s="50" t="s">
        <v>183</v>
      </c>
      <c r="E31" s="51" t="s">
        <v>97</v>
      </c>
      <c r="F31" s="66" t="s">
        <v>199</v>
      </c>
      <c r="G31" s="20" t="s">
        <v>257</v>
      </c>
      <c r="H31" s="62" t="s">
        <v>250</v>
      </c>
      <c r="I31" s="54" t="s">
        <v>68</v>
      </c>
      <c r="J31" s="55"/>
      <c r="K31" s="62" t="s">
        <v>187</v>
      </c>
      <c r="L31" s="62"/>
      <c r="M31" s="67" t="s">
        <v>258</v>
      </c>
      <c r="N31" s="62" t="s">
        <v>259</v>
      </c>
      <c r="O31" s="64" t="str">
        <f>IFERROR(VLOOKUP(B23,'Year Calendar'!C:M,11,0),"Pending")</f>
        <v>Pending</v>
      </c>
      <c r="P31" s="49" t="s">
        <v>242</v>
      </c>
    </row>
    <row r="32" spans="1:16" ht="30" customHeight="1" x14ac:dyDescent="0.25">
      <c r="A32" s="48" t="s">
        <v>235</v>
      </c>
      <c r="B32" s="22" t="s">
        <v>236</v>
      </c>
      <c r="C32" s="49" t="s">
        <v>182</v>
      </c>
      <c r="D32" s="66" t="s">
        <v>237</v>
      </c>
      <c r="E32" s="71" t="s">
        <v>94</v>
      </c>
      <c r="F32" s="70" t="s">
        <v>199</v>
      </c>
      <c r="G32" s="23" t="s">
        <v>260</v>
      </c>
      <c r="H32" s="53" t="s">
        <v>261</v>
      </c>
      <c r="I32" s="54" t="s">
        <v>68</v>
      </c>
      <c r="J32" s="55"/>
      <c r="K32" s="53" t="s">
        <v>187</v>
      </c>
      <c r="L32" s="53"/>
      <c r="M32" s="56" t="s">
        <v>262</v>
      </c>
      <c r="N32" s="53" t="s">
        <v>263</v>
      </c>
      <c r="O32" s="57" t="str">
        <f>IFERROR(VLOOKUP(B24,'Year Calendar'!C:M,11,0),"Pending")</f>
        <v>Pending</v>
      </c>
      <c r="P32" s="49" t="s">
        <v>242</v>
      </c>
    </row>
    <row r="33" spans="1:16" ht="30" customHeight="1" x14ac:dyDescent="0.25">
      <c r="A33" s="59" t="s">
        <v>235</v>
      </c>
      <c r="B33" s="19" t="s">
        <v>264</v>
      </c>
      <c r="C33" s="49" t="s">
        <v>182</v>
      </c>
      <c r="D33" s="50" t="s">
        <v>183</v>
      </c>
      <c r="E33" s="51" t="s">
        <v>97</v>
      </c>
      <c r="F33" s="66" t="s">
        <v>199</v>
      </c>
      <c r="G33" s="20" t="s">
        <v>265</v>
      </c>
      <c r="H33" s="62" t="s">
        <v>266</v>
      </c>
      <c r="I33" s="54" t="s">
        <v>68</v>
      </c>
      <c r="J33" s="55"/>
      <c r="K33" s="62" t="s">
        <v>187</v>
      </c>
      <c r="L33" s="62"/>
      <c r="M33" s="67" t="s">
        <v>267</v>
      </c>
      <c r="N33" s="62" t="s">
        <v>268</v>
      </c>
      <c r="O33" s="64" t="str">
        <f>IFERROR(VLOOKUP(B25,'Year Calendar'!C:M,11,0),"Pending")</f>
        <v>Pending</v>
      </c>
      <c r="P33" s="58" t="s">
        <v>190</v>
      </c>
    </row>
    <row r="34" spans="1:16" ht="30" customHeight="1" x14ac:dyDescent="0.25">
      <c r="A34" s="48" t="s">
        <v>235</v>
      </c>
      <c r="B34" s="22" t="s">
        <v>264</v>
      </c>
      <c r="C34" s="49" t="s">
        <v>182</v>
      </c>
      <c r="D34" s="50" t="s">
        <v>183</v>
      </c>
      <c r="E34" s="60" t="s">
        <v>191</v>
      </c>
      <c r="F34" s="52" t="s">
        <v>184</v>
      </c>
      <c r="G34" s="23" t="s">
        <v>269</v>
      </c>
      <c r="H34" s="53" t="s">
        <v>186</v>
      </c>
      <c r="I34" s="54" t="s">
        <v>68</v>
      </c>
      <c r="J34" s="55"/>
      <c r="K34" s="53" t="s">
        <v>187</v>
      </c>
      <c r="L34" s="53"/>
      <c r="M34" s="65" t="s">
        <v>270</v>
      </c>
      <c r="N34" s="53" t="s">
        <v>271</v>
      </c>
      <c r="O34" s="57" t="str">
        <f>IFERROR(VLOOKUP(B26,'Year Calendar'!C:M,11,0),"Pending")</f>
        <v>Pending</v>
      </c>
      <c r="P34" s="58" t="s">
        <v>190</v>
      </c>
    </row>
    <row r="35" spans="1:16" ht="30" customHeight="1" x14ac:dyDescent="0.25">
      <c r="A35" s="59" t="s">
        <v>235</v>
      </c>
      <c r="B35" s="19" t="s">
        <v>264</v>
      </c>
      <c r="C35" s="49" t="s">
        <v>182</v>
      </c>
      <c r="D35" s="74" t="s">
        <v>272</v>
      </c>
      <c r="E35" s="69" t="s">
        <v>91</v>
      </c>
      <c r="F35" s="66" t="s">
        <v>199</v>
      </c>
      <c r="G35" s="20" t="s">
        <v>273</v>
      </c>
      <c r="H35" s="62" t="s">
        <v>266</v>
      </c>
      <c r="I35" s="54" t="s">
        <v>68</v>
      </c>
      <c r="J35" s="55"/>
      <c r="K35" s="62" t="s">
        <v>187</v>
      </c>
      <c r="L35" s="62"/>
      <c r="M35" s="67" t="s">
        <v>274</v>
      </c>
      <c r="N35" s="62" t="s">
        <v>275</v>
      </c>
      <c r="O35" s="64" t="str">
        <f>IFERROR(VLOOKUP(B27,'Year Calendar'!C:M,11,0),"Pending")</f>
        <v>Pending</v>
      </c>
      <c r="P35" s="58" t="s">
        <v>190</v>
      </c>
    </row>
    <row r="36" spans="1:16" ht="30" customHeight="1" x14ac:dyDescent="0.25">
      <c r="A36" s="48" t="s">
        <v>276</v>
      </c>
      <c r="B36" s="22" t="s">
        <v>277</v>
      </c>
      <c r="C36" s="49" t="s">
        <v>182</v>
      </c>
      <c r="D36" s="72" t="s">
        <v>253</v>
      </c>
      <c r="E36" s="75" t="s">
        <v>85</v>
      </c>
      <c r="F36" s="70" t="s">
        <v>199</v>
      </c>
      <c r="G36" s="23" t="s">
        <v>278</v>
      </c>
      <c r="H36" s="53" t="s">
        <v>279</v>
      </c>
      <c r="I36" s="54" t="s">
        <v>68</v>
      </c>
      <c r="J36" s="55"/>
      <c r="K36" s="53" t="s">
        <v>187</v>
      </c>
      <c r="L36" s="53"/>
      <c r="M36" s="56" t="s">
        <v>280</v>
      </c>
      <c r="N36" s="53" t="s">
        <v>281</v>
      </c>
      <c r="O36" s="57" t="str">
        <f>IFERROR(VLOOKUP(B28,'Year Calendar'!C:M,11,0),"Pending")</f>
        <v>Pending</v>
      </c>
      <c r="P36" s="49" t="s">
        <v>242</v>
      </c>
    </row>
    <row r="37" spans="1:16" ht="30" customHeight="1" x14ac:dyDescent="0.25">
      <c r="A37" s="59" t="s">
        <v>276</v>
      </c>
      <c r="B37" s="19" t="s">
        <v>277</v>
      </c>
      <c r="C37" s="49" t="s">
        <v>182</v>
      </c>
      <c r="D37" s="72" t="s">
        <v>253</v>
      </c>
      <c r="E37" s="71" t="s">
        <v>79</v>
      </c>
      <c r="F37" s="61" t="s">
        <v>184</v>
      </c>
      <c r="G37" s="20" t="s">
        <v>282</v>
      </c>
      <c r="H37" s="62" t="s">
        <v>283</v>
      </c>
      <c r="I37" s="54" t="s">
        <v>68</v>
      </c>
      <c r="J37" s="55"/>
      <c r="K37" s="62" t="s">
        <v>187</v>
      </c>
      <c r="L37" s="62"/>
      <c r="M37" s="67" t="s">
        <v>284</v>
      </c>
      <c r="N37" s="62" t="s">
        <v>285</v>
      </c>
      <c r="O37" s="64" t="str">
        <f>IFERROR(VLOOKUP(B29,'Year Calendar'!C:M,11,0),"Pending")</f>
        <v>Pending</v>
      </c>
      <c r="P37" s="49" t="s">
        <v>242</v>
      </c>
    </row>
    <row r="38" spans="1:16" ht="30" customHeight="1" x14ac:dyDescent="0.25">
      <c r="A38" s="48" t="s">
        <v>276</v>
      </c>
      <c r="B38" s="22" t="s">
        <v>277</v>
      </c>
      <c r="C38" s="49" t="s">
        <v>182</v>
      </c>
      <c r="D38" s="72" t="s">
        <v>253</v>
      </c>
      <c r="E38" s="71" t="s">
        <v>79</v>
      </c>
      <c r="F38" s="52" t="s">
        <v>184</v>
      </c>
      <c r="G38" s="23" t="s">
        <v>286</v>
      </c>
      <c r="H38" s="53" t="s">
        <v>283</v>
      </c>
      <c r="I38" s="54" t="s">
        <v>68</v>
      </c>
      <c r="J38" s="55"/>
      <c r="K38" s="53" t="s">
        <v>187</v>
      </c>
      <c r="L38" s="53"/>
      <c r="M38" s="56" t="s">
        <v>247</v>
      </c>
      <c r="N38" s="53" t="s">
        <v>287</v>
      </c>
      <c r="O38" s="57" t="str">
        <f>IFERROR(VLOOKUP(B30,'Year Calendar'!C:M,11,0),"Pending")</f>
        <v>Pending</v>
      </c>
      <c r="P38" s="49" t="s">
        <v>242</v>
      </c>
    </row>
    <row r="39" spans="1:16" ht="30" customHeight="1" x14ac:dyDescent="0.25">
      <c r="A39" s="59" t="s">
        <v>276</v>
      </c>
      <c r="B39" s="19" t="s">
        <v>277</v>
      </c>
      <c r="C39" s="49" t="s">
        <v>182</v>
      </c>
      <c r="D39" s="72" t="s">
        <v>253</v>
      </c>
      <c r="E39" s="73" t="s">
        <v>88</v>
      </c>
      <c r="F39" s="66" t="s">
        <v>199</v>
      </c>
      <c r="G39" s="20" t="s">
        <v>288</v>
      </c>
      <c r="H39" s="62" t="s">
        <v>289</v>
      </c>
      <c r="I39" s="54" t="s">
        <v>68</v>
      </c>
      <c r="J39" s="55"/>
      <c r="K39" s="62" t="s">
        <v>187</v>
      </c>
      <c r="L39" s="62"/>
      <c r="M39" s="67" t="s">
        <v>290</v>
      </c>
      <c r="N39" s="62" t="s">
        <v>291</v>
      </c>
      <c r="O39" s="64" t="str">
        <f>IFERROR(VLOOKUP(B31,'Year Calendar'!C:M,11,0),"Pending")</f>
        <v>Pending</v>
      </c>
      <c r="P39" s="49" t="s">
        <v>242</v>
      </c>
    </row>
    <row r="40" spans="1:16" ht="30" customHeight="1" x14ac:dyDescent="0.25">
      <c r="A40" s="48" t="s">
        <v>276</v>
      </c>
      <c r="B40" s="22" t="s">
        <v>277</v>
      </c>
      <c r="C40" s="49" t="s">
        <v>182</v>
      </c>
      <c r="D40" s="72" t="s">
        <v>253</v>
      </c>
      <c r="E40" s="76" t="s">
        <v>106</v>
      </c>
      <c r="F40" s="70" t="s">
        <v>199</v>
      </c>
      <c r="G40" s="23" t="s">
        <v>292</v>
      </c>
      <c r="H40" s="53" t="s">
        <v>279</v>
      </c>
      <c r="I40" s="54" t="s">
        <v>68</v>
      </c>
      <c r="J40" s="55"/>
      <c r="K40" s="53" t="s">
        <v>187</v>
      </c>
      <c r="L40" s="53"/>
      <c r="M40" s="56" t="s">
        <v>293</v>
      </c>
      <c r="N40" s="53" t="s">
        <v>294</v>
      </c>
      <c r="O40" s="57" t="str">
        <f>IFERROR(VLOOKUP(B32,'Year Calendar'!C:M,11,0),"Pending")</f>
        <v>Pending</v>
      </c>
      <c r="P40" s="49" t="s">
        <v>242</v>
      </c>
    </row>
    <row r="41" spans="1:16" ht="30" customHeight="1" x14ac:dyDescent="0.25">
      <c r="A41" s="59" t="s">
        <v>276</v>
      </c>
      <c r="B41" s="19" t="s">
        <v>295</v>
      </c>
      <c r="C41" s="77" t="s">
        <v>296</v>
      </c>
      <c r="D41" s="78" t="s">
        <v>297</v>
      </c>
      <c r="E41" s="76" t="s">
        <v>103</v>
      </c>
      <c r="F41" s="61" t="s">
        <v>184</v>
      </c>
      <c r="G41" s="20" t="s">
        <v>298</v>
      </c>
      <c r="H41" s="62" t="s">
        <v>279</v>
      </c>
      <c r="I41" s="54" t="s">
        <v>68</v>
      </c>
      <c r="J41" s="55"/>
      <c r="K41" s="62" t="s">
        <v>187</v>
      </c>
      <c r="L41" s="62"/>
      <c r="M41" s="67" t="s">
        <v>299</v>
      </c>
      <c r="N41" s="62" t="s">
        <v>300</v>
      </c>
      <c r="O41" s="64" t="str">
        <f>IFERROR(VLOOKUP(B33,'Year Calendar'!C:M,11,0),"Pending")</f>
        <v>Pending</v>
      </c>
      <c r="P41" s="49" t="s">
        <v>242</v>
      </c>
    </row>
    <row r="42" spans="1:16" ht="30" customHeight="1" x14ac:dyDescent="0.25">
      <c r="A42" s="48" t="s">
        <v>276</v>
      </c>
      <c r="B42" s="22" t="s">
        <v>295</v>
      </c>
      <c r="C42" s="77" t="s">
        <v>296</v>
      </c>
      <c r="D42" s="78" t="s">
        <v>297</v>
      </c>
      <c r="E42" s="69" t="s">
        <v>91</v>
      </c>
      <c r="F42" s="70" t="s">
        <v>199</v>
      </c>
      <c r="G42" s="23" t="s">
        <v>301</v>
      </c>
      <c r="H42" s="53" t="s">
        <v>302</v>
      </c>
      <c r="I42" s="54" t="s">
        <v>68</v>
      </c>
      <c r="J42" s="55"/>
      <c r="K42" s="53" t="s">
        <v>187</v>
      </c>
      <c r="L42" s="53"/>
      <c r="M42" s="56" t="s">
        <v>303</v>
      </c>
      <c r="N42" s="53" t="s">
        <v>304</v>
      </c>
      <c r="O42" s="57" t="str">
        <f>IFERROR(VLOOKUP(B34,'Year Calendar'!C:M,11,0),"Pending")</f>
        <v>Pending</v>
      </c>
      <c r="P42" s="49" t="s">
        <v>242</v>
      </c>
    </row>
    <row r="43" spans="1:16" ht="30" customHeight="1" x14ac:dyDescent="0.25">
      <c r="A43" s="59" t="s">
        <v>305</v>
      </c>
      <c r="B43" s="19" t="s">
        <v>306</v>
      </c>
      <c r="C43" s="79" t="s">
        <v>307</v>
      </c>
      <c r="D43" s="78" t="s">
        <v>297</v>
      </c>
      <c r="E43" s="71" t="s">
        <v>79</v>
      </c>
      <c r="F43" s="61" t="s">
        <v>184</v>
      </c>
      <c r="G43" s="20" t="s">
        <v>308</v>
      </c>
      <c r="H43" s="62" t="s">
        <v>261</v>
      </c>
      <c r="I43" s="54" t="s">
        <v>68</v>
      </c>
      <c r="J43" s="55"/>
      <c r="K43" s="62" t="s">
        <v>187</v>
      </c>
      <c r="L43" s="62"/>
      <c r="M43" s="67" t="s">
        <v>309</v>
      </c>
      <c r="N43" s="62" t="s">
        <v>310</v>
      </c>
      <c r="O43" s="64" t="str">
        <f>IFERROR(VLOOKUP(B35,'Year Calendar'!C:M,11,0),"Pending")</f>
        <v>Pending</v>
      </c>
      <c r="P43" s="49" t="s">
        <v>242</v>
      </c>
    </row>
    <row r="44" spans="1:16" ht="30" customHeight="1" x14ac:dyDescent="0.25">
      <c r="A44" s="48" t="s">
        <v>305</v>
      </c>
      <c r="B44" s="22" t="s">
        <v>306</v>
      </c>
      <c r="C44" s="79" t="s">
        <v>307</v>
      </c>
      <c r="D44" s="78" t="s">
        <v>297</v>
      </c>
      <c r="E44" s="60" t="s">
        <v>100</v>
      </c>
      <c r="F44" s="70" t="s">
        <v>199</v>
      </c>
      <c r="G44" s="23" t="s">
        <v>311</v>
      </c>
      <c r="H44" s="53" t="s">
        <v>312</v>
      </c>
      <c r="I44" s="54" t="s">
        <v>68</v>
      </c>
      <c r="J44" s="55"/>
      <c r="K44" s="53" t="s">
        <v>187</v>
      </c>
      <c r="L44" s="53"/>
      <c r="M44" s="56" t="s">
        <v>313</v>
      </c>
      <c r="N44" s="53" t="s">
        <v>314</v>
      </c>
      <c r="O44" s="57" t="str">
        <f>IFERROR(VLOOKUP(B36,'Year Calendar'!C:M,11,0),"Pending")</f>
        <v>Pending</v>
      </c>
      <c r="P44" s="49" t="s">
        <v>242</v>
      </c>
    </row>
    <row r="45" spans="1:16" ht="30" customHeight="1" x14ac:dyDescent="0.25">
      <c r="A45" s="59" t="s">
        <v>305</v>
      </c>
      <c r="B45" s="19" t="s">
        <v>306</v>
      </c>
      <c r="C45" s="79" t="s">
        <v>307</v>
      </c>
      <c r="D45" s="78" t="s">
        <v>297</v>
      </c>
      <c r="E45" s="60" t="s">
        <v>100</v>
      </c>
      <c r="F45" s="66" t="s">
        <v>199</v>
      </c>
      <c r="G45" s="20" t="s">
        <v>315</v>
      </c>
      <c r="H45" s="62" t="s">
        <v>316</v>
      </c>
      <c r="I45" s="54" t="s">
        <v>68</v>
      </c>
      <c r="J45" s="55"/>
      <c r="K45" s="62" t="s">
        <v>187</v>
      </c>
      <c r="L45" s="62"/>
      <c r="M45" s="67"/>
      <c r="N45" s="62" t="s">
        <v>317</v>
      </c>
      <c r="O45" s="64" t="str">
        <f>IFERROR(VLOOKUP(B37,'Year Calendar'!C:M,11,0),"Pending")</f>
        <v>Pending</v>
      </c>
      <c r="P45" s="49" t="s">
        <v>242</v>
      </c>
    </row>
    <row r="46" spans="1:16" ht="30" customHeight="1" x14ac:dyDescent="0.25">
      <c r="A46" s="48" t="s">
        <v>305</v>
      </c>
      <c r="B46" s="22" t="s">
        <v>318</v>
      </c>
      <c r="C46" s="79" t="s">
        <v>307</v>
      </c>
      <c r="D46" s="68" t="s">
        <v>214</v>
      </c>
      <c r="E46" s="69" t="s">
        <v>91</v>
      </c>
      <c r="F46" s="52" t="s">
        <v>184</v>
      </c>
      <c r="G46" s="23" t="s">
        <v>319</v>
      </c>
      <c r="H46" s="53" t="s">
        <v>302</v>
      </c>
      <c r="I46" s="54" t="s">
        <v>68</v>
      </c>
      <c r="J46" s="55"/>
      <c r="K46" s="53" t="s">
        <v>187</v>
      </c>
      <c r="L46" s="53"/>
      <c r="M46" s="56" t="s">
        <v>320</v>
      </c>
      <c r="N46" s="53" t="s">
        <v>321</v>
      </c>
      <c r="O46" s="57" t="str">
        <f>IFERROR(VLOOKUP(B38,'Year Calendar'!C:M,11,0),"Pending")</f>
        <v>Pending</v>
      </c>
      <c r="P46" s="49" t="s">
        <v>242</v>
      </c>
    </row>
    <row r="47" spans="1:16" ht="30" customHeight="1" x14ac:dyDescent="0.25">
      <c r="A47" s="59" t="s">
        <v>305</v>
      </c>
      <c r="B47" s="19" t="s">
        <v>318</v>
      </c>
      <c r="C47" s="79" t="s">
        <v>307</v>
      </c>
      <c r="D47" s="68" t="s">
        <v>214</v>
      </c>
      <c r="E47" s="69" t="s">
        <v>91</v>
      </c>
      <c r="F47" s="66" t="s">
        <v>199</v>
      </c>
      <c r="G47" s="20" t="s">
        <v>322</v>
      </c>
      <c r="H47" s="62" t="s">
        <v>283</v>
      </c>
      <c r="I47" s="54" t="s">
        <v>68</v>
      </c>
      <c r="J47" s="55"/>
      <c r="K47" s="62" t="s">
        <v>187</v>
      </c>
      <c r="L47" s="62"/>
      <c r="M47" s="67" t="s">
        <v>323</v>
      </c>
      <c r="N47" s="62" t="s">
        <v>324</v>
      </c>
      <c r="O47" s="64" t="str">
        <f>IFERROR(VLOOKUP(B39,'Year Calendar'!C:M,11,0),"Pending")</f>
        <v>Pending</v>
      </c>
      <c r="P47" s="49" t="s">
        <v>242</v>
      </c>
    </row>
    <row r="48" spans="1:16" ht="30" customHeight="1" x14ac:dyDescent="0.25">
      <c r="A48" s="48" t="s">
        <v>305</v>
      </c>
      <c r="B48" s="22" t="s">
        <v>318</v>
      </c>
      <c r="C48" s="79" t="s">
        <v>307</v>
      </c>
      <c r="D48" s="68" t="s">
        <v>214</v>
      </c>
      <c r="E48" s="71" t="s">
        <v>94</v>
      </c>
      <c r="F48" s="70" t="s">
        <v>199</v>
      </c>
      <c r="G48" s="23" t="s">
        <v>325</v>
      </c>
      <c r="H48" s="53" t="s">
        <v>312</v>
      </c>
      <c r="I48" s="54" t="s">
        <v>68</v>
      </c>
      <c r="J48" s="55"/>
      <c r="K48" s="53" t="s">
        <v>187</v>
      </c>
      <c r="L48" s="53"/>
      <c r="M48" s="56" t="s">
        <v>326</v>
      </c>
      <c r="N48" s="53" t="s">
        <v>327</v>
      </c>
      <c r="O48" s="57" t="str">
        <f>IFERROR(VLOOKUP(B40,'Year Calendar'!C:M,11,0),"Pending")</f>
        <v>Pending</v>
      </c>
      <c r="P48" s="49" t="s">
        <v>242</v>
      </c>
    </row>
    <row r="49" spans="1:16" ht="30" customHeight="1" x14ac:dyDescent="0.25">
      <c r="A49" s="59" t="s">
        <v>328</v>
      </c>
      <c r="B49" s="19" t="s">
        <v>329</v>
      </c>
      <c r="C49" s="49" t="s">
        <v>182</v>
      </c>
      <c r="D49" s="66" t="s">
        <v>237</v>
      </c>
      <c r="E49" s="75" t="s">
        <v>85</v>
      </c>
      <c r="F49" s="66" t="s">
        <v>199</v>
      </c>
      <c r="G49" s="20" t="s">
        <v>330</v>
      </c>
      <c r="H49" s="62" t="s">
        <v>331</v>
      </c>
      <c r="I49" s="54" t="s">
        <v>68</v>
      </c>
      <c r="J49" s="55"/>
      <c r="K49" s="62" t="s">
        <v>187</v>
      </c>
      <c r="L49" s="62"/>
      <c r="M49" s="67" t="s">
        <v>332</v>
      </c>
      <c r="N49" s="62" t="s">
        <v>333</v>
      </c>
      <c r="O49" s="64" t="str">
        <f>IFERROR(VLOOKUP(B41,'Year Calendar'!C:M,11,0),"Pending")</f>
        <v>Pending</v>
      </c>
      <c r="P49" s="79" t="s">
        <v>334</v>
      </c>
    </row>
    <row r="50" spans="1:16" ht="30" customHeight="1" x14ac:dyDescent="0.25">
      <c r="A50" s="48" t="s">
        <v>328</v>
      </c>
      <c r="B50" s="22" t="s">
        <v>329</v>
      </c>
      <c r="C50" s="49" t="s">
        <v>182</v>
      </c>
      <c r="D50" s="66" t="s">
        <v>237</v>
      </c>
      <c r="E50" s="71" t="s">
        <v>79</v>
      </c>
      <c r="F50" s="52" t="s">
        <v>184</v>
      </c>
      <c r="G50" s="23" t="s">
        <v>335</v>
      </c>
      <c r="H50" s="53" t="s">
        <v>283</v>
      </c>
      <c r="I50" s="54" t="s">
        <v>68</v>
      </c>
      <c r="J50" s="55"/>
      <c r="K50" s="53" t="s">
        <v>187</v>
      </c>
      <c r="L50" s="53"/>
      <c r="M50" s="56" t="s">
        <v>336</v>
      </c>
      <c r="N50" s="53" t="s">
        <v>337</v>
      </c>
      <c r="O50" s="57" t="str">
        <f>IFERROR(VLOOKUP(B42,'Year Calendar'!C:M,11,0),"Pending")</f>
        <v>Pending</v>
      </c>
      <c r="P50" s="79" t="s">
        <v>334</v>
      </c>
    </row>
    <row r="51" spans="1:16" ht="30" customHeight="1" x14ac:dyDescent="0.25">
      <c r="A51" s="59" t="s">
        <v>328</v>
      </c>
      <c r="B51" s="19" t="s">
        <v>329</v>
      </c>
      <c r="C51" s="49" t="s">
        <v>182</v>
      </c>
      <c r="D51" s="66" t="s">
        <v>237</v>
      </c>
      <c r="E51" s="71" t="s">
        <v>79</v>
      </c>
      <c r="F51" s="61" t="s">
        <v>184</v>
      </c>
      <c r="G51" s="20" t="s">
        <v>338</v>
      </c>
      <c r="H51" s="62" t="s">
        <v>283</v>
      </c>
      <c r="I51" s="54" t="s">
        <v>68</v>
      </c>
      <c r="J51" s="55"/>
      <c r="K51" s="62" t="s">
        <v>187</v>
      </c>
      <c r="L51" s="62"/>
      <c r="M51" s="67" t="s">
        <v>339</v>
      </c>
      <c r="N51" s="62" t="s">
        <v>340</v>
      </c>
      <c r="O51" s="64" t="str">
        <f>IFERROR(VLOOKUP(B43,'Year Calendar'!C:M,11,0),"Pending")</f>
        <v>Pending</v>
      </c>
      <c r="P51" s="79" t="s">
        <v>334</v>
      </c>
    </row>
    <row r="52" spans="1:16" ht="30" customHeight="1" x14ac:dyDescent="0.25">
      <c r="A52" s="48" t="s">
        <v>328</v>
      </c>
      <c r="B52" s="22" t="s">
        <v>329</v>
      </c>
      <c r="C52" s="49" t="s">
        <v>182</v>
      </c>
      <c r="D52" s="66" t="s">
        <v>237</v>
      </c>
      <c r="E52" s="71" t="s">
        <v>79</v>
      </c>
      <c r="F52" s="52" t="s">
        <v>184</v>
      </c>
      <c r="G52" s="23" t="s">
        <v>341</v>
      </c>
      <c r="H52" s="53" t="s">
        <v>342</v>
      </c>
      <c r="I52" s="54" t="s">
        <v>68</v>
      </c>
      <c r="J52" s="55"/>
      <c r="K52" s="53" t="s">
        <v>187</v>
      </c>
      <c r="L52" s="53"/>
      <c r="M52" s="56" t="s">
        <v>343</v>
      </c>
      <c r="N52" s="53" t="s">
        <v>344</v>
      </c>
      <c r="O52" s="57" t="str">
        <f>IFERROR(VLOOKUP(B44,'Year Calendar'!C:M,11,0),"Pending")</f>
        <v>Pending</v>
      </c>
      <c r="P52" s="79" t="s">
        <v>334</v>
      </c>
    </row>
    <row r="53" spans="1:16" ht="30" customHeight="1" x14ac:dyDescent="0.25">
      <c r="A53" s="59" t="s">
        <v>328</v>
      </c>
      <c r="B53" s="19" t="s">
        <v>329</v>
      </c>
      <c r="C53" s="49" t="s">
        <v>182</v>
      </c>
      <c r="D53" s="68" t="s">
        <v>214</v>
      </c>
      <c r="E53" s="69" t="s">
        <v>91</v>
      </c>
      <c r="F53" s="66" t="s">
        <v>199</v>
      </c>
      <c r="G53" s="20" t="s">
        <v>345</v>
      </c>
      <c r="H53" s="62" t="s">
        <v>346</v>
      </c>
      <c r="I53" s="54" t="s">
        <v>68</v>
      </c>
      <c r="J53" s="55"/>
      <c r="K53" s="62" t="s">
        <v>187</v>
      </c>
      <c r="L53" s="62"/>
      <c r="M53" s="67" t="s">
        <v>347</v>
      </c>
      <c r="N53" s="62" t="s">
        <v>348</v>
      </c>
      <c r="O53" s="64" t="str">
        <f>IFERROR(VLOOKUP(B45,'Year Calendar'!C:M,11,0),"Pending")</f>
        <v>Pending</v>
      </c>
      <c r="P53" s="79" t="s">
        <v>334</v>
      </c>
    </row>
    <row r="54" spans="1:16" ht="30" customHeight="1" x14ac:dyDescent="0.25">
      <c r="A54" s="48" t="s">
        <v>328</v>
      </c>
      <c r="B54" s="22" t="s">
        <v>349</v>
      </c>
      <c r="C54" s="79" t="s">
        <v>307</v>
      </c>
      <c r="D54" s="68" t="s">
        <v>214</v>
      </c>
      <c r="E54" s="75" t="s">
        <v>85</v>
      </c>
      <c r="F54" s="70" t="s">
        <v>199</v>
      </c>
      <c r="G54" s="23" t="s">
        <v>350</v>
      </c>
      <c r="H54" s="53" t="s">
        <v>216</v>
      </c>
      <c r="I54" s="54" t="s">
        <v>68</v>
      </c>
      <c r="J54" s="55"/>
      <c r="K54" s="53" t="s">
        <v>187</v>
      </c>
      <c r="L54" s="53"/>
      <c r="M54" s="56" t="s">
        <v>351</v>
      </c>
      <c r="N54" s="53" t="s">
        <v>352</v>
      </c>
      <c r="O54" s="57" t="str">
        <f>IFERROR(VLOOKUP(B46,'Year Calendar'!C:M,11,0),"Pending")</f>
        <v>Pending</v>
      </c>
      <c r="P54" s="49" t="s">
        <v>242</v>
      </c>
    </row>
    <row r="55" spans="1:16" ht="30" customHeight="1" x14ac:dyDescent="0.25">
      <c r="A55" s="59" t="s">
        <v>328</v>
      </c>
      <c r="B55" s="19" t="s">
        <v>349</v>
      </c>
      <c r="C55" s="79" t="s">
        <v>307</v>
      </c>
      <c r="D55" s="68" t="s">
        <v>214</v>
      </c>
      <c r="E55" s="71" t="s">
        <v>79</v>
      </c>
      <c r="F55" s="61" t="s">
        <v>184</v>
      </c>
      <c r="G55" s="20" t="s">
        <v>353</v>
      </c>
      <c r="H55" s="62" t="s">
        <v>302</v>
      </c>
      <c r="I55" s="54" t="s">
        <v>68</v>
      </c>
      <c r="J55" s="55"/>
      <c r="K55" s="62" t="s">
        <v>187</v>
      </c>
      <c r="L55" s="62"/>
      <c r="M55" s="67" t="s">
        <v>354</v>
      </c>
      <c r="N55" s="62" t="s">
        <v>355</v>
      </c>
      <c r="O55" s="64" t="str">
        <f>IFERROR(VLOOKUP(B47,'Year Calendar'!C:M,11,0),"Pending")</f>
        <v>Pending</v>
      </c>
      <c r="P55" s="49" t="s">
        <v>242</v>
      </c>
    </row>
    <row r="56" spans="1:16" ht="30" customHeight="1" x14ac:dyDescent="0.25">
      <c r="A56" s="48" t="s">
        <v>328</v>
      </c>
      <c r="B56" s="22" t="s">
        <v>349</v>
      </c>
      <c r="C56" s="79" t="s">
        <v>307</v>
      </c>
      <c r="D56" s="68" t="s">
        <v>214</v>
      </c>
      <c r="E56" s="69" t="s">
        <v>91</v>
      </c>
      <c r="F56" s="70" t="s">
        <v>199</v>
      </c>
      <c r="G56" s="23" t="s">
        <v>356</v>
      </c>
      <c r="H56" s="53" t="s">
        <v>346</v>
      </c>
      <c r="I56" s="54" t="s">
        <v>68</v>
      </c>
      <c r="J56" s="55"/>
      <c r="K56" s="53" t="s">
        <v>187</v>
      </c>
      <c r="L56" s="53"/>
      <c r="M56" s="56" t="s">
        <v>357</v>
      </c>
      <c r="N56" s="53" t="s">
        <v>358</v>
      </c>
      <c r="O56" s="57" t="str">
        <f>IFERROR(VLOOKUP(B48,'Year Calendar'!C:M,11,0),"Pending")</f>
        <v>Pending</v>
      </c>
      <c r="P56" s="49" t="s">
        <v>242</v>
      </c>
    </row>
    <row r="57" spans="1:16" ht="30" customHeight="1" x14ac:dyDescent="0.25">
      <c r="A57" s="59" t="s">
        <v>359</v>
      </c>
      <c r="B57" s="19" t="s">
        <v>360</v>
      </c>
      <c r="C57" s="49" t="s">
        <v>182</v>
      </c>
      <c r="D57" s="50" t="s">
        <v>183</v>
      </c>
      <c r="E57" s="75" t="s">
        <v>85</v>
      </c>
      <c r="F57" s="66" t="s">
        <v>199</v>
      </c>
      <c r="G57" s="20" t="s">
        <v>361</v>
      </c>
      <c r="H57" s="62" t="s">
        <v>331</v>
      </c>
      <c r="I57" s="54" t="s">
        <v>68</v>
      </c>
      <c r="J57" s="55"/>
      <c r="K57" s="62" t="s">
        <v>187</v>
      </c>
      <c r="L57" s="62"/>
      <c r="M57" s="67" t="s">
        <v>362</v>
      </c>
      <c r="N57" s="62" t="s">
        <v>363</v>
      </c>
      <c r="O57" s="64" t="str">
        <f>IFERROR(VLOOKUP(B49,'Year Calendar'!C:M,11,0),"Pending")</f>
        <v>Pending</v>
      </c>
      <c r="P57" s="49" t="s">
        <v>242</v>
      </c>
    </row>
    <row r="58" spans="1:16" ht="30" customHeight="1" x14ac:dyDescent="0.25">
      <c r="A58" s="48" t="s">
        <v>359</v>
      </c>
      <c r="B58" s="22" t="s">
        <v>360</v>
      </c>
      <c r="C58" s="49" t="s">
        <v>182</v>
      </c>
      <c r="D58" s="50" t="s">
        <v>183</v>
      </c>
      <c r="E58" s="71" t="s">
        <v>79</v>
      </c>
      <c r="F58" s="52" t="s">
        <v>184</v>
      </c>
      <c r="G58" s="23" t="s">
        <v>364</v>
      </c>
      <c r="H58" s="53" t="s">
        <v>331</v>
      </c>
      <c r="I58" s="54" t="s">
        <v>68</v>
      </c>
      <c r="J58" s="55"/>
      <c r="K58" s="53" t="s">
        <v>187</v>
      </c>
      <c r="L58" s="53"/>
      <c r="M58" s="56" t="s">
        <v>365</v>
      </c>
      <c r="N58" s="53" t="s">
        <v>366</v>
      </c>
      <c r="O58" s="57" t="str">
        <f>IFERROR(VLOOKUP(B50,'Year Calendar'!C:M,11,0),"Pending")</f>
        <v>Pending</v>
      </c>
      <c r="P58" s="49" t="s">
        <v>242</v>
      </c>
    </row>
    <row r="59" spans="1:16" ht="30" customHeight="1" x14ac:dyDescent="0.25">
      <c r="A59" s="59" t="s">
        <v>359</v>
      </c>
      <c r="B59" s="19" t="s">
        <v>360</v>
      </c>
      <c r="C59" s="49" t="s">
        <v>182</v>
      </c>
      <c r="D59" s="50" t="s">
        <v>183</v>
      </c>
      <c r="E59" s="71" t="s">
        <v>79</v>
      </c>
      <c r="F59" s="61" t="s">
        <v>184</v>
      </c>
      <c r="G59" s="20" t="s">
        <v>367</v>
      </c>
      <c r="H59" s="62" t="s">
        <v>331</v>
      </c>
      <c r="I59" s="54" t="s">
        <v>68</v>
      </c>
      <c r="J59" s="55"/>
      <c r="K59" s="62" t="s">
        <v>187</v>
      </c>
      <c r="L59" s="62"/>
      <c r="M59" s="67" t="s">
        <v>368</v>
      </c>
      <c r="N59" s="62" t="s">
        <v>369</v>
      </c>
      <c r="O59" s="64" t="str">
        <f>IFERROR(VLOOKUP(B51,'Year Calendar'!C:M,11,0),"Pending")</f>
        <v>Pending</v>
      </c>
      <c r="P59" s="49" t="s">
        <v>242</v>
      </c>
    </row>
    <row r="60" spans="1:16" ht="30" customHeight="1" x14ac:dyDescent="0.25">
      <c r="A60" s="48" t="s">
        <v>359</v>
      </c>
      <c r="B60" s="22" t="s">
        <v>360</v>
      </c>
      <c r="C60" s="49" t="s">
        <v>182</v>
      </c>
      <c r="D60" s="50" t="s">
        <v>183</v>
      </c>
      <c r="E60" s="51" t="s">
        <v>97</v>
      </c>
      <c r="F60" s="70" t="s">
        <v>199</v>
      </c>
      <c r="G60" s="23" t="s">
        <v>370</v>
      </c>
      <c r="H60" s="53" t="s">
        <v>371</v>
      </c>
      <c r="I60" s="54" t="s">
        <v>68</v>
      </c>
      <c r="J60" s="55"/>
      <c r="K60" s="53" t="s">
        <v>187</v>
      </c>
      <c r="L60" s="53"/>
      <c r="M60" s="56" t="s">
        <v>372</v>
      </c>
      <c r="N60" s="53" t="s">
        <v>373</v>
      </c>
      <c r="O60" s="57" t="str">
        <f>IFERROR(VLOOKUP(B52,'Year Calendar'!C:M,11,0),"Pending")</f>
        <v>Pending</v>
      </c>
      <c r="P60" s="49" t="s">
        <v>242</v>
      </c>
    </row>
    <row r="61" spans="1:16" ht="30" customHeight="1" x14ac:dyDescent="0.25">
      <c r="A61" s="59" t="s">
        <v>359</v>
      </c>
      <c r="B61" s="19" t="s">
        <v>360</v>
      </c>
      <c r="C61" s="49" t="s">
        <v>182</v>
      </c>
      <c r="D61" s="50" t="s">
        <v>183</v>
      </c>
      <c r="E61" s="51" t="s">
        <v>97</v>
      </c>
      <c r="F61" s="66" t="s">
        <v>199</v>
      </c>
      <c r="G61" s="20" t="s">
        <v>374</v>
      </c>
      <c r="H61" s="62" t="s">
        <v>375</v>
      </c>
      <c r="I61" s="54" t="s">
        <v>68</v>
      </c>
      <c r="J61" s="55"/>
      <c r="K61" s="62" t="s">
        <v>187</v>
      </c>
      <c r="L61" s="62"/>
      <c r="M61" s="67"/>
      <c r="N61" s="62" t="s">
        <v>376</v>
      </c>
      <c r="O61" s="64" t="str">
        <f>IFERROR(VLOOKUP(B53,'Year Calendar'!C:M,11,0),"Pending")</f>
        <v>Pending</v>
      </c>
      <c r="P61" s="49" t="s">
        <v>242</v>
      </c>
    </row>
    <row r="62" spans="1:16" ht="30" customHeight="1" x14ac:dyDescent="0.25">
      <c r="A62" s="48" t="s">
        <v>377</v>
      </c>
      <c r="B62" s="22" t="s">
        <v>378</v>
      </c>
      <c r="C62" s="79" t="s">
        <v>307</v>
      </c>
      <c r="D62" s="78" t="s">
        <v>297</v>
      </c>
      <c r="E62" s="60" t="s">
        <v>100</v>
      </c>
      <c r="F62" s="52" t="s">
        <v>184</v>
      </c>
      <c r="G62" s="23" t="s">
        <v>379</v>
      </c>
      <c r="H62" s="53" t="s">
        <v>239</v>
      </c>
      <c r="I62" s="54" t="s">
        <v>68</v>
      </c>
      <c r="J62" s="55"/>
      <c r="K62" s="53" t="s">
        <v>187</v>
      </c>
      <c r="L62" s="53"/>
      <c r="M62" s="56" t="s">
        <v>380</v>
      </c>
      <c r="N62" s="53" t="s">
        <v>381</v>
      </c>
      <c r="O62" s="57" t="str">
        <f>IFERROR(VLOOKUP(B54,'Year Calendar'!C:M,11,0),"Pending")</f>
        <v>Pending</v>
      </c>
      <c r="P62" s="49" t="s">
        <v>242</v>
      </c>
    </row>
    <row r="63" spans="1:16" ht="30" customHeight="1" x14ac:dyDescent="0.25">
      <c r="A63" s="59" t="s">
        <v>377</v>
      </c>
      <c r="B63" s="19" t="s">
        <v>378</v>
      </c>
      <c r="C63" s="79" t="s">
        <v>307</v>
      </c>
      <c r="D63" s="78" t="s">
        <v>297</v>
      </c>
      <c r="E63" s="71" t="s">
        <v>79</v>
      </c>
      <c r="F63" s="61" t="s">
        <v>184</v>
      </c>
      <c r="G63" s="20" t="s">
        <v>382</v>
      </c>
      <c r="H63" s="62" t="s">
        <v>239</v>
      </c>
      <c r="I63" s="54" t="s">
        <v>68</v>
      </c>
      <c r="J63" s="55"/>
      <c r="K63" s="62" t="s">
        <v>187</v>
      </c>
      <c r="L63" s="62"/>
      <c r="M63" s="67" t="s">
        <v>383</v>
      </c>
      <c r="N63" s="62" t="s">
        <v>384</v>
      </c>
      <c r="O63" s="64" t="str">
        <f>IFERROR(VLOOKUP(B55,'Year Calendar'!C:M,11,0),"Pending")</f>
        <v>Pending</v>
      </c>
      <c r="P63" s="49" t="s">
        <v>242</v>
      </c>
    </row>
    <row r="64" spans="1:16" ht="30" customHeight="1" x14ac:dyDescent="0.25">
      <c r="A64" s="48" t="s">
        <v>377</v>
      </c>
      <c r="B64" s="22" t="s">
        <v>378</v>
      </c>
      <c r="C64" s="79" t="s">
        <v>307</v>
      </c>
      <c r="D64" s="78" t="s">
        <v>297</v>
      </c>
      <c r="E64" s="60" t="s">
        <v>100</v>
      </c>
      <c r="F64" s="70" t="s">
        <v>199</v>
      </c>
      <c r="G64" s="23" t="s">
        <v>385</v>
      </c>
      <c r="H64" s="53" t="s">
        <v>386</v>
      </c>
      <c r="I64" s="54" t="s">
        <v>68</v>
      </c>
      <c r="J64" s="55"/>
      <c r="K64" s="53" t="s">
        <v>187</v>
      </c>
      <c r="L64" s="53"/>
      <c r="M64" s="56" t="s">
        <v>387</v>
      </c>
      <c r="N64" s="53" t="s">
        <v>388</v>
      </c>
      <c r="O64" s="57" t="str">
        <f>IFERROR(VLOOKUP(B56,'Year Calendar'!C:M,11,0),"Pending")</f>
        <v>Pending</v>
      </c>
      <c r="P64" s="49" t="s">
        <v>242</v>
      </c>
    </row>
    <row r="65" spans="1:16" ht="30" customHeight="1" x14ac:dyDescent="0.25">
      <c r="A65" s="59" t="s">
        <v>389</v>
      </c>
      <c r="B65" s="19" t="s">
        <v>390</v>
      </c>
      <c r="C65" s="49" t="s">
        <v>182</v>
      </c>
      <c r="D65" s="50" t="s">
        <v>183</v>
      </c>
      <c r="E65" s="75" t="s">
        <v>85</v>
      </c>
      <c r="F65" s="66" t="s">
        <v>199</v>
      </c>
      <c r="G65" s="20" t="s">
        <v>391</v>
      </c>
      <c r="H65" s="62" t="s">
        <v>392</v>
      </c>
      <c r="I65" s="54" t="s">
        <v>68</v>
      </c>
      <c r="J65" s="55"/>
      <c r="K65" s="62" t="s">
        <v>187</v>
      </c>
      <c r="L65" s="62"/>
      <c r="M65" s="67" t="s">
        <v>393</v>
      </c>
      <c r="N65" s="62" t="s">
        <v>394</v>
      </c>
      <c r="O65" s="64" t="str">
        <f>IFERROR(VLOOKUP(B57,'Year Calendar'!C:M,11,0),"Pending")</f>
        <v>Pending</v>
      </c>
      <c r="P65" s="49" t="s">
        <v>242</v>
      </c>
    </row>
    <row r="66" spans="1:16" ht="30" customHeight="1" x14ac:dyDescent="0.25">
      <c r="A66" s="48" t="s">
        <v>389</v>
      </c>
      <c r="B66" s="22" t="s">
        <v>390</v>
      </c>
      <c r="C66" s="49" t="s">
        <v>182</v>
      </c>
      <c r="D66" s="50" t="s">
        <v>183</v>
      </c>
      <c r="E66" s="71" t="s">
        <v>79</v>
      </c>
      <c r="F66" s="52" t="s">
        <v>184</v>
      </c>
      <c r="G66" s="23" t="s">
        <v>395</v>
      </c>
      <c r="H66" s="53" t="s">
        <v>396</v>
      </c>
      <c r="I66" s="54" t="s">
        <v>68</v>
      </c>
      <c r="J66" s="55"/>
      <c r="K66" s="53" t="s">
        <v>187</v>
      </c>
      <c r="L66" s="53"/>
      <c r="M66" s="56" t="s">
        <v>397</v>
      </c>
      <c r="N66" s="53" t="s">
        <v>398</v>
      </c>
      <c r="O66" s="57" t="str">
        <f>IFERROR(VLOOKUP(B58,'Year Calendar'!C:M,11,0),"Pending")</f>
        <v>Pending</v>
      </c>
      <c r="P66" s="49" t="s">
        <v>242</v>
      </c>
    </row>
    <row r="67" spans="1:16" ht="30" customHeight="1" x14ac:dyDescent="0.25">
      <c r="A67" s="59" t="s">
        <v>389</v>
      </c>
      <c r="B67" s="19" t="s">
        <v>390</v>
      </c>
      <c r="C67" s="49" t="s">
        <v>182</v>
      </c>
      <c r="D67" s="50" t="s">
        <v>183</v>
      </c>
      <c r="E67" s="71" t="s">
        <v>79</v>
      </c>
      <c r="F67" s="61" t="s">
        <v>184</v>
      </c>
      <c r="G67" s="20" t="s">
        <v>399</v>
      </c>
      <c r="H67" s="62" t="s">
        <v>396</v>
      </c>
      <c r="I67" s="54" t="s">
        <v>68</v>
      </c>
      <c r="J67" s="55"/>
      <c r="K67" s="62" t="s">
        <v>187</v>
      </c>
      <c r="L67" s="62"/>
      <c r="M67" s="67" t="s">
        <v>247</v>
      </c>
      <c r="N67" s="62" t="s">
        <v>400</v>
      </c>
      <c r="O67" s="64" t="str">
        <f>IFERROR(VLOOKUP(B59,'Year Calendar'!C:M,11,0),"Pending")</f>
        <v>Pending</v>
      </c>
      <c r="P67" s="49" t="s">
        <v>242</v>
      </c>
    </row>
    <row r="68" spans="1:16" ht="30" customHeight="1" x14ac:dyDescent="0.25">
      <c r="A68" s="48" t="s">
        <v>389</v>
      </c>
      <c r="B68" s="22" t="s">
        <v>390</v>
      </c>
      <c r="C68" s="49" t="s">
        <v>182</v>
      </c>
      <c r="D68" s="50" t="s">
        <v>183</v>
      </c>
      <c r="E68" s="51" t="s">
        <v>97</v>
      </c>
      <c r="F68" s="70" t="s">
        <v>199</v>
      </c>
      <c r="G68" s="23" t="s">
        <v>401</v>
      </c>
      <c r="H68" s="53" t="s">
        <v>402</v>
      </c>
      <c r="I68" s="54" t="s">
        <v>68</v>
      </c>
      <c r="J68" s="55"/>
      <c r="K68" s="53" t="s">
        <v>187</v>
      </c>
      <c r="L68" s="53"/>
      <c r="M68" s="56" t="s">
        <v>403</v>
      </c>
      <c r="N68" s="53" t="s">
        <v>404</v>
      </c>
      <c r="O68" s="57" t="str">
        <f>IFERROR(VLOOKUP(B60,'Year Calendar'!C:M,11,0),"Pending")</f>
        <v>Pending</v>
      </c>
      <c r="P68" s="49" t="s">
        <v>242</v>
      </c>
    </row>
    <row r="69" spans="1:16" ht="30" customHeight="1" x14ac:dyDescent="0.25">
      <c r="A69" s="59" t="s">
        <v>389</v>
      </c>
      <c r="B69" s="19" t="s">
        <v>390</v>
      </c>
      <c r="C69" s="49" t="s">
        <v>182</v>
      </c>
      <c r="D69" s="50" t="s">
        <v>183</v>
      </c>
      <c r="E69" s="51" t="s">
        <v>97</v>
      </c>
      <c r="F69" s="66" t="s">
        <v>199</v>
      </c>
      <c r="G69" s="20" t="s">
        <v>405</v>
      </c>
      <c r="H69" s="62" t="s">
        <v>406</v>
      </c>
      <c r="I69" s="54" t="s">
        <v>68</v>
      </c>
      <c r="J69" s="55"/>
      <c r="K69" s="62" t="s">
        <v>187</v>
      </c>
      <c r="L69" s="62"/>
      <c r="M69" s="67"/>
      <c r="N69" s="62" t="s">
        <v>407</v>
      </c>
      <c r="O69" s="64" t="str">
        <f>IFERROR(VLOOKUP(B61,'Year Calendar'!C:M,11,0),"Pending")</f>
        <v>Pending</v>
      </c>
      <c r="P69" s="49" t="s">
        <v>242</v>
      </c>
    </row>
    <row r="70" spans="1:16" ht="30" customHeight="1" x14ac:dyDescent="0.25">
      <c r="A70" s="48" t="s">
        <v>389</v>
      </c>
      <c r="B70" s="22" t="s">
        <v>408</v>
      </c>
      <c r="C70" s="49" t="s">
        <v>182</v>
      </c>
      <c r="D70" s="50" t="s">
        <v>183</v>
      </c>
      <c r="E70" s="51" t="s">
        <v>97</v>
      </c>
      <c r="F70" s="70" t="s">
        <v>199</v>
      </c>
      <c r="G70" s="23" t="s">
        <v>409</v>
      </c>
      <c r="H70" s="53" t="s">
        <v>392</v>
      </c>
      <c r="I70" s="54" t="s">
        <v>68</v>
      </c>
      <c r="J70" s="55"/>
      <c r="K70" s="53" t="s">
        <v>187</v>
      </c>
      <c r="L70" s="53"/>
      <c r="M70" s="56" t="s">
        <v>410</v>
      </c>
      <c r="N70" s="53" t="s">
        <v>411</v>
      </c>
      <c r="O70" s="57" t="str">
        <f>IFERROR(VLOOKUP(B62,'Year Calendar'!C:M,11,0),"Pending")</f>
        <v>Pending</v>
      </c>
      <c r="P70" s="49" t="s">
        <v>242</v>
      </c>
    </row>
    <row r="71" spans="1:16" ht="30" customHeight="1" x14ac:dyDescent="0.25">
      <c r="A71" s="59" t="s">
        <v>389</v>
      </c>
      <c r="B71" s="19" t="s">
        <v>412</v>
      </c>
      <c r="C71" s="79" t="s">
        <v>307</v>
      </c>
      <c r="D71" s="68" t="s">
        <v>214</v>
      </c>
      <c r="E71" s="69" t="s">
        <v>91</v>
      </c>
      <c r="F71" s="61" t="s">
        <v>184</v>
      </c>
      <c r="G71" s="20" t="s">
        <v>413</v>
      </c>
      <c r="H71" s="62" t="s">
        <v>414</v>
      </c>
      <c r="I71" s="54" t="s">
        <v>68</v>
      </c>
      <c r="J71" s="55"/>
      <c r="K71" s="62" t="s">
        <v>187</v>
      </c>
      <c r="L71" s="62"/>
      <c r="M71" s="67" t="s">
        <v>415</v>
      </c>
      <c r="N71" s="62" t="s">
        <v>416</v>
      </c>
      <c r="O71" s="64" t="str">
        <f>IFERROR(VLOOKUP(B63,'Year Calendar'!C:M,11,0),"Pending")</f>
        <v>Pending</v>
      </c>
      <c r="P71" s="49" t="s">
        <v>242</v>
      </c>
    </row>
    <row r="72" spans="1:16" ht="30" customHeight="1" x14ac:dyDescent="0.25">
      <c r="A72" s="48" t="s">
        <v>389</v>
      </c>
      <c r="B72" s="22" t="s">
        <v>412</v>
      </c>
      <c r="C72" s="79" t="s">
        <v>307</v>
      </c>
      <c r="D72" s="68" t="s">
        <v>214</v>
      </c>
      <c r="E72" s="69" t="s">
        <v>91</v>
      </c>
      <c r="F72" s="70" t="s">
        <v>199</v>
      </c>
      <c r="G72" s="23" t="s">
        <v>417</v>
      </c>
      <c r="H72" s="53" t="s">
        <v>418</v>
      </c>
      <c r="I72" s="54" t="s">
        <v>68</v>
      </c>
      <c r="J72" s="55"/>
      <c r="K72" s="53" t="s">
        <v>187</v>
      </c>
      <c r="L72" s="53"/>
      <c r="M72" s="56" t="s">
        <v>419</v>
      </c>
      <c r="N72" s="53" t="s">
        <v>420</v>
      </c>
      <c r="O72" s="57" t="str">
        <f>IFERROR(VLOOKUP(B64,'Year Calendar'!C:M,11,0),"Pending")</f>
        <v>Pending</v>
      </c>
      <c r="P72" s="49" t="s">
        <v>242</v>
      </c>
    </row>
    <row r="73" spans="1:16" ht="30" customHeight="1" x14ac:dyDescent="0.25">
      <c r="A73" s="59" t="s">
        <v>421</v>
      </c>
      <c r="B73" s="19" t="s">
        <v>422</v>
      </c>
      <c r="C73" s="49" t="s">
        <v>182</v>
      </c>
      <c r="D73" s="68" t="s">
        <v>214</v>
      </c>
      <c r="E73" s="75" t="s">
        <v>85</v>
      </c>
      <c r="F73" s="66" t="s">
        <v>199</v>
      </c>
      <c r="G73" s="20" t="s">
        <v>423</v>
      </c>
      <c r="H73" s="62" t="s">
        <v>392</v>
      </c>
      <c r="I73" s="54" t="s">
        <v>68</v>
      </c>
      <c r="J73" s="55"/>
      <c r="K73" s="62" t="s">
        <v>187</v>
      </c>
      <c r="L73" s="62"/>
      <c r="M73" s="67" t="s">
        <v>424</v>
      </c>
      <c r="N73" s="62" t="s">
        <v>425</v>
      </c>
      <c r="O73" s="64" t="str">
        <f>IFERROR(VLOOKUP(B65,'Year Calendar'!C:M,11,0),"Pending")</f>
        <v>Pending</v>
      </c>
      <c r="P73" s="79" t="s">
        <v>334</v>
      </c>
    </row>
    <row r="74" spans="1:16" ht="30" customHeight="1" x14ac:dyDescent="0.25">
      <c r="A74" s="48" t="s">
        <v>421</v>
      </c>
      <c r="B74" s="22" t="s">
        <v>422</v>
      </c>
      <c r="C74" s="49" t="s">
        <v>182</v>
      </c>
      <c r="D74" s="68" t="s">
        <v>214</v>
      </c>
      <c r="E74" s="71" t="s">
        <v>79</v>
      </c>
      <c r="F74" s="52" t="s">
        <v>184</v>
      </c>
      <c r="G74" s="23" t="s">
        <v>426</v>
      </c>
      <c r="H74" s="53" t="s">
        <v>427</v>
      </c>
      <c r="I74" s="54" t="s">
        <v>68</v>
      </c>
      <c r="J74" s="55"/>
      <c r="K74" s="53" t="s">
        <v>187</v>
      </c>
      <c r="L74" s="53"/>
      <c r="M74" s="56" t="s">
        <v>428</v>
      </c>
      <c r="N74" s="53" t="s">
        <v>429</v>
      </c>
      <c r="O74" s="57" t="str">
        <f>IFERROR(VLOOKUP(B66,'Year Calendar'!C:M,11,0),"Pending")</f>
        <v>Pending</v>
      </c>
      <c r="P74" s="79" t="s">
        <v>334</v>
      </c>
    </row>
    <row r="75" spans="1:16" ht="30" customHeight="1" x14ac:dyDescent="0.25">
      <c r="A75" s="59" t="s">
        <v>421</v>
      </c>
      <c r="B75" s="80"/>
      <c r="C75" s="80"/>
      <c r="D75" s="80"/>
      <c r="E75" s="80"/>
      <c r="F75" s="80"/>
      <c r="G75" s="80"/>
      <c r="H75" s="80"/>
      <c r="I75" s="80"/>
      <c r="J75" s="55"/>
      <c r="K75" s="62" t="s">
        <v>187</v>
      </c>
      <c r="L75" s="80"/>
      <c r="M75" s="80"/>
      <c r="N75" s="80"/>
      <c r="O75" s="64" t="str">
        <f>IFERROR(VLOOKUP(B67,'Year Calendar'!C:M,11,0),"Pending")</f>
        <v>Pending</v>
      </c>
      <c r="P75" s="79" t="s">
        <v>334</v>
      </c>
    </row>
    <row r="76" spans="1:16" ht="30" customHeight="1" x14ac:dyDescent="0.25">
      <c r="A76" s="48" t="s">
        <v>421</v>
      </c>
      <c r="B76" s="22" t="s">
        <v>422</v>
      </c>
      <c r="C76" s="49" t="s">
        <v>182</v>
      </c>
      <c r="D76" s="68" t="s">
        <v>214</v>
      </c>
      <c r="E76" s="71" t="s">
        <v>79</v>
      </c>
      <c r="F76" s="52" t="s">
        <v>184</v>
      </c>
      <c r="G76" s="23" t="s">
        <v>430</v>
      </c>
      <c r="H76" s="53" t="s">
        <v>431</v>
      </c>
      <c r="I76" s="54" t="s">
        <v>68</v>
      </c>
      <c r="J76" s="55"/>
      <c r="K76" s="53" t="s">
        <v>187</v>
      </c>
      <c r="L76" s="53"/>
      <c r="M76" s="56" t="s">
        <v>432</v>
      </c>
      <c r="N76" s="53" t="s">
        <v>433</v>
      </c>
      <c r="O76" s="57" t="str">
        <f>IFERROR(VLOOKUP(B68,'Year Calendar'!C:M,11,0),"Pending")</f>
        <v>Pending</v>
      </c>
      <c r="P76" s="79" t="s">
        <v>334</v>
      </c>
    </row>
    <row r="77" spans="1:16" ht="30" customHeight="1" x14ac:dyDescent="0.25">
      <c r="A77" s="59" t="s">
        <v>421</v>
      </c>
      <c r="B77" s="19" t="s">
        <v>422</v>
      </c>
      <c r="C77" s="49" t="s">
        <v>182</v>
      </c>
      <c r="D77" s="68" t="s">
        <v>214</v>
      </c>
      <c r="E77" s="69" t="s">
        <v>91</v>
      </c>
      <c r="F77" s="66" t="s">
        <v>199</v>
      </c>
      <c r="G77" s="20" t="s">
        <v>434</v>
      </c>
      <c r="H77" s="62" t="s">
        <v>431</v>
      </c>
      <c r="I77" s="54" t="s">
        <v>68</v>
      </c>
      <c r="J77" s="55"/>
      <c r="K77" s="62" t="s">
        <v>187</v>
      </c>
      <c r="L77" s="62"/>
      <c r="M77" s="67"/>
      <c r="N77" s="62" t="s">
        <v>435</v>
      </c>
      <c r="O77" s="64" t="str">
        <f>IFERROR(VLOOKUP(B69,'Year Calendar'!C:M,11,0),"Pending")</f>
        <v>Pending</v>
      </c>
      <c r="P77" s="79" t="s">
        <v>334</v>
      </c>
    </row>
    <row r="78" spans="1:16" ht="15" customHeight="1" x14ac:dyDescent="0.25">
      <c r="A78" s="48" t="s">
        <v>421</v>
      </c>
      <c r="B78" s="22" t="s">
        <v>436</v>
      </c>
      <c r="C78" s="58" t="s">
        <v>437</v>
      </c>
      <c r="D78" s="50" t="s">
        <v>183</v>
      </c>
      <c r="E78" s="51" t="s">
        <v>97</v>
      </c>
      <c r="F78" s="70" t="s">
        <v>199</v>
      </c>
      <c r="G78" s="23" t="s">
        <v>438</v>
      </c>
      <c r="H78" s="53" t="s">
        <v>427</v>
      </c>
      <c r="I78" s="54" t="s">
        <v>68</v>
      </c>
      <c r="J78" s="55"/>
      <c r="K78" s="53" t="s">
        <v>187</v>
      </c>
      <c r="L78" s="53"/>
      <c r="M78" s="56" t="s">
        <v>439</v>
      </c>
      <c r="N78" s="53" t="s">
        <v>440</v>
      </c>
      <c r="O78" s="57" t="str">
        <f>IFERROR(VLOOKUP(B70,'Year Calendar'!C:M,11,0),"Pending")</f>
        <v>Pending</v>
      </c>
      <c r="P78" s="49" t="s">
        <v>242</v>
      </c>
    </row>
    <row r="79" spans="1:16" ht="24" customHeight="1" x14ac:dyDescent="0.25">
      <c r="A79" s="181" t="s">
        <v>421</v>
      </c>
      <c r="B79" s="181"/>
      <c r="C79" s="181"/>
      <c r="D79" s="181"/>
      <c r="E79" s="181"/>
      <c r="F79" s="181"/>
      <c r="G79" s="181"/>
      <c r="H79" s="181"/>
      <c r="I79" s="181"/>
      <c r="J79" s="55"/>
      <c r="K79" s="182" t="s">
        <v>187</v>
      </c>
      <c r="L79" s="182"/>
      <c r="M79" s="182"/>
      <c r="N79" s="182"/>
      <c r="O79" s="64" t="str">
        <f>IFERROR(VLOOKUP(B71,'Year Calendar'!C:M,11,0),"Pending")</f>
        <v>Pending</v>
      </c>
      <c r="P79" s="49" t="s">
        <v>242</v>
      </c>
    </row>
    <row r="80" spans="1:16" ht="21.75" customHeight="1" x14ac:dyDescent="0.25">
      <c r="A80" s="48" t="s">
        <v>441</v>
      </c>
      <c r="B80" s="22" t="s">
        <v>442</v>
      </c>
      <c r="C80" s="49" t="s">
        <v>182</v>
      </c>
      <c r="D80" s="66" t="s">
        <v>443</v>
      </c>
      <c r="E80" s="81" t="s">
        <v>82</v>
      </c>
      <c r="F80" s="82" t="s">
        <v>444</v>
      </c>
      <c r="G80" s="23" t="s">
        <v>445</v>
      </c>
      <c r="H80" s="53" t="s">
        <v>446</v>
      </c>
      <c r="I80" s="54" t="s">
        <v>68</v>
      </c>
      <c r="J80" s="55"/>
      <c r="K80" s="53" t="s">
        <v>187</v>
      </c>
      <c r="L80" s="53"/>
      <c r="M80" s="56" t="s">
        <v>447</v>
      </c>
      <c r="N80" s="53" t="s">
        <v>448</v>
      </c>
      <c r="O80" s="83" t="s">
        <v>449</v>
      </c>
      <c r="P80" s="49" t="s">
        <v>242</v>
      </c>
    </row>
    <row r="81" spans="1:16" ht="21.75" customHeight="1" x14ac:dyDescent="0.25">
      <c r="A81" s="59" t="s">
        <v>441</v>
      </c>
      <c r="B81" s="19" t="s">
        <v>442</v>
      </c>
      <c r="C81" s="49" t="s">
        <v>182</v>
      </c>
      <c r="D81" s="66" t="s">
        <v>443</v>
      </c>
      <c r="E81" s="75" t="s">
        <v>112</v>
      </c>
      <c r="F81" s="66" t="s">
        <v>199</v>
      </c>
      <c r="G81" s="20" t="s">
        <v>450</v>
      </c>
      <c r="H81" s="62" t="s">
        <v>451</v>
      </c>
      <c r="I81" s="54" t="s">
        <v>68</v>
      </c>
      <c r="J81" s="55"/>
      <c r="K81" s="62" t="s">
        <v>187</v>
      </c>
      <c r="L81" s="62"/>
      <c r="M81" s="67" t="s">
        <v>452</v>
      </c>
      <c r="N81" s="62" t="s">
        <v>453</v>
      </c>
      <c r="O81" s="82" t="s">
        <v>449</v>
      </c>
      <c r="P81" s="49" t="s">
        <v>242</v>
      </c>
    </row>
    <row r="82" spans="1:16" ht="21.75" customHeight="1" x14ac:dyDescent="0.25">
      <c r="A82" s="48" t="s">
        <v>441</v>
      </c>
      <c r="B82" s="22" t="s">
        <v>442</v>
      </c>
      <c r="C82" s="49" t="s">
        <v>182</v>
      </c>
      <c r="D82" s="66" t="s">
        <v>443</v>
      </c>
      <c r="E82" s="75" t="s">
        <v>85</v>
      </c>
      <c r="F82" s="82" t="s">
        <v>444</v>
      </c>
      <c r="G82" s="23" t="s">
        <v>454</v>
      </c>
      <c r="H82" s="53" t="s">
        <v>455</v>
      </c>
      <c r="I82" s="54" t="s">
        <v>68</v>
      </c>
      <c r="J82" s="55"/>
      <c r="K82" s="53" t="s">
        <v>187</v>
      </c>
      <c r="L82" s="53"/>
      <c r="M82" s="56" t="s">
        <v>456</v>
      </c>
      <c r="N82" s="53" t="s">
        <v>457</v>
      </c>
      <c r="O82" s="83" t="s">
        <v>449</v>
      </c>
      <c r="P82" s="49" t="s">
        <v>242</v>
      </c>
    </row>
    <row r="83" spans="1:16" ht="15" customHeight="1" x14ac:dyDescent="0.25">
      <c r="A83" s="59" t="s">
        <v>441</v>
      </c>
      <c r="B83" s="19" t="s">
        <v>442</v>
      </c>
      <c r="C83" s="79" t="s">
        <v>307</v>
      </c>
      <c r="D83" s="66" t="s">
        <v>443</v>
      </c>
      <c r="E83" s="75" t="s">
        <v>85</v>
      </c>
      <c r="F83" s="66" t="s">
        <v>199</v>
      </c>
      <c r="G83" s="20" t="s">
        <v>458</v>
      </c>
      <c r="H83" s="62" t="s">
        <v>451</v>
      </c>
      <c r="I83" s="54" t="s">
        <v>68</v>
      </c>
      <c r="J83" s="55"/>
      <c r="K83" s="62" t="s">
        <v>187</v>
      </c>
      <c r="L83" s="62"/>
      <c r="M83" s="67" t="s">
        <v>459</v>
      </c>
      <c r="N83" s="62" t="s">
        <v>460</v>
      </c>
      <c r="O83" s="82" t="s">
        <v>449</v>
      </c>
      <c r="P83" s="49" t="s">
        <v>242</v>
      </c>
    </row>
    <row r="84" spans="1:16" ht="21.75" customHeight="1" x14ac:dyDescent="0.25">
      <c r="A84" s="48" t="s">
        <v>441</v>
      </c>
      <c r="B84" s="22" t="s">
        <v>442</v>
      </c>
      <c r="C84" s="49" t="s">
        <v>182</v>
      </c>
      <c r="D84" s="72" t="s">
        <v>253</v>
      </c>
      <c r="E84" s="75" t="s">
        <v>85</v>
      </c>
      <c r="F84" s="70" t="s">
        <v>199</v>
      </c>
      <c r="G84" s="23" t="s">
        <v>461</v>
      </c>
      <c r="H84" s="53" t="s">
        <v>462</v>
      </c>
      <c r="I84" s="54" t="s">
        <v>68</v>
      </c>
      <c r="J84" s="55"/>
      <c r="K84" s="53" t="s">
        <v>187</v>
      </c>
      <c r="L84" s="53"/>
      <c r="M84" s="56" t="s">
        <v>463</v>
      </c>
      <c r="N84" s="53" t="s">
        <v>464</v>
      </c>
      <c r="O84" s="83" t="s">
        <v>449</v>
      </c>
      <c r="P84" s="49" t="s">
        <v>242</v>
      </c>
    </row>
    <row r="85" spans="1:16" ht="21.75" customHeight="1" x14ac:dyDescent="0.25">
      <c r="A85" s="59" t="s">
        <v>441</v>
      </c>
      <c r="B85" s="19" t="s">
        <v>442</v>
      </c>
      <c r="C85" s="49" t="s">
        <v>182</v>
      </c>
      <c r="D85" s="78" t="s">
        <v>297</v>
      </c>
      <c r="E85" s="60" t="s">
        <v>100</v>
      </c>
      <c r="F85" s="66" t="s">
        <v>199</v>
      </c>
      <c r="G85" s="20" t="s">
        <v>465</v>
      </c>
      <c r="H85" s="62" t="s">
        <v>462</v>
      </c>
      <c r="I85" s="54" t="s">
        <v>68</v>
      </c>
      <c r="J85" s="55"/>
      <c r="K85" s="62" t="s">
        <v>187</v>
      </c>
      <c r="L85" s="62"/>
      <c r="M85" s="67" t="s">
        <v>466</v>
      </c>
      <c r="N85" s="62" t="s">
        <v>467</v>
      </c>
      <c r="O85" s="82" t="s">
        <v>449</v>
      </c>
      <c r="P85" s="49" t="s">
        <v>242</v>
      </c>
    </row>
    <row r="86" spans="1:16" ht="7.5" customHeight="1" x14ac:dyDescent="0.25"/>
    <row r="87" spans="1:16" ht="24" customHeight="1" x14ac:dyDescent="0.25">
      <c r="A87" s="183" t="s">
        <v>468</v>
      </c>
      <c r="B87" s="183"/>
      <c r="C87" s="183"/>
      <c r="D87" s="183"/>
      <c r="E87" s="183"/>
      <c r="F87" s="183"/>
      <c r="G87" s="183"/>
      <c r="H87" s="183"/>
      <c r="I87" s="183"/>
      <c r="J87" s="84">
        <f>SUMIF(I14:I85,"Complete",J14:J85)</f>
        <v>0</v>
      </c>
      <c r="K87" s="184" t="str">
        <f>COUNTIF(I14:I85,"Complete")&amp;" of 72 complete"</f>
        <v>0 of 72 complete</v>
      </c>
      <c r="L87" s="184"/>
      <c r="M87" s="184"/>
      <c r="N87" s="184"/>
      <c r="O87" s="184"/>
      <c r="P87" s="184"/>
    </row>
    <row r="88" spans="1:16" ht="21.75" customHeight="1" x14ac:dyDescent="0.25"/>
    <row r="89" spans="1:16" ht="21.75" customHeight="1" x14ac:dyDescent="0.25"/>
    <row r="91" spans="1:16" ht="57" customHeight="1" x14ac:dyDescent="0.25"/>
  </sheetData>
  <mergeCells count="30">
    <mergeCell ref="A11:O11"/>
    <mergeCell ref="A79:I79"/>
    <mergeCell ref="K79:N79"/>
    <mergeCell ref="A87:I87"/>
    <mergeCell ref="K87:P87"/>
    <mergeCell ref="A9:E9"/>
    <mergeCell ref="F9:J9"/>
    <mergeCell ref="K9:O9"/>
    <mergeCell ref="A10:E10"/>
    <mergeCell ref="F10:J10"/>
    <mergeCell ref="K10:O10"/>
    <mergeCell ref="A7:E7"/>
    <mergeCell ref="F7:J7"/>
    <mergeCell ref="K7:O7"/>
    <mergeCell ref="A8:E8"/>
    <mergeCell ref="F8:J8"/>
    <mergeCell ref="K8:O8"/>
    <mergeCell ref="A5:E5"/>
    <mergeCell ref="F5:J5"/>
    <mergeCell ref="K5:O5"/>
    <mergeCell ref="A6:E6"/>
    <mergeCell ref="F6:J6"/>
    <mergeCell ref="K6:O6"/>
    <mergeCell ref="A1:N2"/>
    <mergeCell ref="A3:N3"/>
    <mergeCell ref="A4:B4"/>
    <mergeCell ref="D4:E4"/>
    <mergeCell ref="G4:H4"/>
    <mergeCell ref="J4:K4"/>
    <mergeCell ref="M4:N4"/>
  </mergeCells>
  <conditionalFormatting sqref="C6:C77">
    <cfRule type="expression" dxfId="112" priority="30">
      <formula>$C6="LOW"</formula>
    </cfRule>
    <cfRule type="expression" dxfId="111" priority="27">
      <formula>$C6="HIGH"</formula>
    </cfRule>
    <cfRule type="expression" dxfId="110" priority="28">
      <formula>$C6="MED-H"</formula>
    </cfRule>
    <cfRule type="expression" dxfId="109" priority="29">
      <formula>$C6="MED"</formula>
    </cfRule>
  </conditionalFormatting>
  <conditionalFormatting sqref="C6:C79">
    <cfRule type="expression" dxfId="108" priority="16">
      <formula>$C6="MED"</formula>
    </cfRule>
    <cfRule type="expression" dxfId="107" priority="14">
      <formula>$C6="HIGH"</formula>
    </cfRule>
    <cfRule type="expression" dxfId="106" priority="15">
      <formula>$C6="MED-H"</formula>
    </cfRule>
    <cfRule type="expression" dxfId="105" priority="17">
      <formula>$C6="LOW"</formula>
    </cfRule>
  </conditionalFormatting>
  <conditionalFormatting sqref="C14:C85">
    <cfRule type="expression" dxfId="104" priority="75">
      <formula>$C14="HIGH"</formula>
    </cfRule>
    <cfRule type="expression" dxfId="103" priority="78">
      <formula>$C14="LOW"</formula>
    </cfRule>
    <cfRule type="expression" dxfId="102" priority="76">
      <formula>$C14="MED-H"</formula>
    </cfRule>
    <cfRule type="expression" dxfId="101" priority="77">
      <formula>$C14="MED"</formula>
    </cfRule>
  </conditionalFormatting>
  <conditionalFormatting sqref="C17:C78">
    <cfRule type="expression" dxfId="100" priority="43">
      <formula>$C17="HIGH"</formula>
    </cfRule>
    <cfRule type="expression" dxfId="99" priority="44">
      <formula>$C17="MED-H"</formula>
    </cfRule>
    <cfRule type="expression" dxfId="98" priority="45">
      <formula>$C17="MED"</formula>
    </cfRule>
    <cfRule type="expression" dxfId="97" priority="46">
      <formula>$C17="LOW"</formula>
    </cfRule>
  </conditionalFormatting>
  <conditionalFormatting sqref="C18:C89">
    <cfRule type="expression" dxfId="96" priority="62">
      <formula>$C18="LOW"</formula>
    </cfRule>
    <cfRule type="expression" dxfId="95" priority="61">
      <formula>$C18="MED"</formula>
    </cfRule>
    <cfRule type="expression" dxfId="94" priority="60">
      <formula>$C18="MED-H"</formula>
    </cfRule>
    <cfRule type="expression" dxfId="93" priority="59">
      <formula>$C18="HIGH"</formula>
    </cfRule>
  </conditionalFormatting>
  <conditionalFormatting sqref="I6:I77">
    <cfRule type="expression" dxfId="92" priority="22">
      <formula>$I6="N/A"</formula>
    </cfRule>
    <cfRule type="expression" dxfId="91" priority="18">
      <formula>$I6="Complete"</formula>
    </cfRule>
    <cfRule type="expression" dxfId="90" priority="19">
      <formula>$I6="In Progress"</formula>
    </cfRule>
    <cfRule type="expression" dxfId="89" priority="20">
      <formula>$I6="Not Started"</formula>
    </cfRule>
    <cfRule type="expression" dxfId="88" priority="21">
      <formula>$I6="Blocked"</formula>
    </cfRule>
  </conditionalFormatting>
  <conditionalFormatting sqref="I6:I79">
    <cfRule type="expression" dxfId="87" priority="5">
      <formula>$I6="Complete"</formula>
    </cfRule>
    <cfRule type="expression" dxfId="86" priority="6">
      <formula>$I6="In Progress"</formula>
    </cfRule>
    <cfRule type="expression" dxfId="85" priority="7">
      <formula>$I6="Not Started"</formula>
    </cfRule>
    <cfRule type="expression" dxfId="84" priority="8">
      <formula>$I6="Blocked"</formula>
    </cfRule>
    <cfRule type="expression" dxfId="83" priority="9">
      <formula>$I6="N/A"</formula>
    </cfRule>
  </conditionalFormatting>
  <conditionalFormatting sqref="I14:I85">
    <cfRule type="expression" dxfId="82" priority="68">
      <formula>$I14="Not Started"</formula>
    </cfRule>
    <cfRule type="expression" dxfId="81" priority="69">
      <formula>$I14="Blocked"</formula>
    </cfRule>
    <cfRule type="expression" dxfId="80" priority="70">
      <formula>$I14="N/A"</formula>
    </cfRule>
    <cfRule type="expression" dxfId="79" priority="67">
      <formula>$I14="In Progress"</formula>
    </cfRule>
    <cfRule type="expression" dxfId="78" priority="66">
      <formula>$I14="Complete"</formula>
    </cfRule>
  </conditionalFormatting>
  <conditionalFormatting sqref="I17:I78">
    <cfRule type="expression" dxfId="77" priority="38">
      <formula>$I17="N/A"</formula>
    </cfRule>
    <cfRule type="expression" dxfId="76" priority="37">
      <formula>$I17="Blocked"</formula>
    </cfRule>
    <cfRule type="expression" dxfId="75" priority="34">
      <formula>$I17="Complete"</formula>
    </cfRule>
    <cfRule type="expression" dxfId="74" priority="35">
      <formula>$I17="In Progress"</formula>
    </cfRule>
    <cfRule type="expression" dxfId="73" priority="36">
      <formula>$I17="Not Started"</formula>
    </cfRule>
  </conditionalFormatting>
  <conditionalFormatting sqref="I18:I89">
    <cfRule type="expression" dxfId="72" priority="51">
      <formula>$I18="In Progress"</formula>
    </cfRule>
    <cfRule type="expression" dxfId="71" priority="54">
      <formula>$I18="N/A"</formula>
    </cfRule>
    <cfRule type="expression" dxfId="70" priority="50">
      <formula>$I18="Complete"</formula>
    </cfRule>
    <cfRule type="expression" dxfId="69" priority="52">
      <formula>$I18="Not Started"</formula>
    </cfRule>
    <cfRule type="expression" dxfId="68" priority="53">
      <formula>$I18="Blocked"</formula>
    </cfRule>
  </conditionalFormatting>
  <conditionalFormatting sqref="O6:O77">
    <cfRule type="expression" dxfId="67" priority="23">
      <formula>$O6="Approved"</formula>
    </cfRule>
    <cfRule type="expression" dxfId="66" priority="25">
      <formula>$O6="On Hold"</formula>
    </cfRule>
    <cfRule type="expression" dxfId="65" priority="24">
      <formula>$O6="Rejected"</formula>
    </cfRule>
    <cfRule type="expression" dxfId="64" priority="26">
      <formula>$O6="Pending"</formula>
    </cfRule>
  </conditionalFormatting>
  <conditionalFormatting sqref="O6:O79">
    <cfRule type="expression" dxfId="63" priority="13">
      <formula>$O6="Pending"</formula>
    </cfRule>
    <cfRule type="expression" dxfId="62" priority="12">
      <formula>$O6="On Hold"</formula>
    </cfRule>
    <cfRule type="expression" dxfId="61" priority="11">
      <formula>$O6="Rejected"</formula>
    </cfRule>
    <cfRule type="expression" dxfId="60" priority="10">
      <formula>$O6="Approved"</formula>
    </cfRule>
  </conditionalFormatting>
  <conditionalFormatting sqref="O6:O85">
    <cfRule type="expression" dxfId="59" priority="2">
      <formula>$O6="Approved"</formula>
    </cfRule>
    <cfRule type="expression" dxfId="58" priority="4">
      <formula>$O6="On Hold"</formula>
    </cfRule>
    <cfRule type="expression" dxfId="57" priority="3">
      <formula>$O6="Rejected"</formula>
    </cfRule>
  </conditionalFormatting>
  <conditionalFormatting sqref="O14:O85">
    <cfRule type="expression" dxfId="56" priority="71">
      <formula>$O14="Approved"</formula>
    </cfRule>
    <cfRule type="expression" dxfId="55" priority="72">
      <formula>$O14="Rejected"</formula>
    </cfRule>
    <cfRule type="expression" dxfId="54" priority="73">
      <formula>$O14="On Hold"</formula>
    </cfRule>
    <cfRule type="expression" dxfId="53" priority="74">
      <formula>$O14="Pending"</formula>
    </cfRule>
  </conditionalFormatting>
  <conditionalFormatting sqref="O17:O78">
    <cfRule type="expression" dxfId="52" priority="41">
      <formula>$O17="On Hold"</formula>
    </cfRule>
    <cfRule type="expression" dxfId="51" priority="40">
      <formula>$O17="Rejected"</formula>
    </cfRule>
    <cfRule type="expression" dxfId="50" priority="39">
      <formula>$O17="Approved"</formula>
    </cfRule>
    <cfRule type="expression" dxfId="49" priority="42">
      <formula>$O17="Pending"</formula>
    </cfRule>
  </conditionalFormatting>
  <conditionalFormatting sqref="O18:O89">
    <cfRule type="expression" dxfId="48" priority="55">
      <formula>$O18="Approved"</formula>
    </cfRule>
    <cfRule type="expression" dxfId="47" priority="56">
      <formula>$O18="Rejected"</formula>
    </cfRule>
    <cfRule type="expression" dxfId="46" priority="57">
      <formula>$O18="On Hold"</formula>
    </cfRule>
    <cfRule type="expression" dxfId="45" priority="58">
      <formula>$O18="Pending"</formula>
    </cfRule>
  </conditionalFormatting>
  <conditionalFormatting sqref="P6:P77">
    <cfRule type="expression" dxfId="44" priority="31">
      <formula>$P6="BU Services"</formula>
    </cfRule>
    <cfRule type="expression" dxfId="43" priority="32">
      <formula>$P6="Ekoscan BU"</formula>
    </cfRule>
    <cfRule type="expression" dxfId="42" priority="33">
      <formula>$P6="Joint"</formula>
    </cfRule>
  </conditionalFormatting>
  <conditionalFormatting sqref="P14:P85">
    <cfRule type="expression" dxfId="41" priority="79">
      <formula>$P14="BU Services"</formula>
    </cfRule>
    <cfRule type="expression" dxfId="40" priority="80">
      <formula>$P14="Ekoscan BU"</formula>
    </cfRule>
    <cfRule type="expression" dxfId="39" priority="81">
      <formula>$P14="Joint"</formula>
    </cfRule>
  </conditionalFormatting>
  <conditionalFormatting sqref="P17:P78">
    <cfRule type="expression" dxfId="38" priority="49">
      <formula>$P17="Joint"</formula>
    </cfRule>
    <cfRule type="expression" dxfId="37" priority="47">
      <formula>$P17="BU Services"</formula>
    </cfRule>
    <cfRule type="expression" dxfId="36" priority="48">
      <formula>$P17="Ekoscan BU"</formula>
    </cfRule>
  </conditionalFormatting>
  <conditionalFormatting sqref="P18:P89">
    <cfRule type="expression" dxfId="35" priority="63">
      <formula>$P18="BU Services"</formula>
    </cfRule>
    <cfRule type="expression" dxfId="34" priority="64">
      <formula>$P18="Ekoscan BU"</formula>
    </cfRule>
    <cfRule type="expression" dxfId="33" priority="65">
      <formula>$P18="Joint"</formula>
    </cfRule>
  </conditionalFormatting>
  <dataValidations count="2">
    <dataValidation type="list" showErrorMessage="1" error="Select a valid status" sqref="I14:I90" xr:uid="{00000000-0002-0000-0100-000000000000}">
      <formula1>"Not Started,In Progress,Complete,Blocked,N/A"</formula1>
      <formula2>0</formula2>
    </dataValidation>
    <dataValidation type="list" sqref="C14:C90" xr:uid="{00000000-0002-0000-0100-000001000000}">
      <formula1>"HIGH,MED-H,MED,LOW"</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showGridLines="0" showRowColHeaders="0" zoomScaleNormal="100" workbookViewId="0"/>
  </sheetViews>
  <sheetFormatPr defaultColWidth="8.7109375" defaultRowHeight="15" x14ac:dyDescent="0.25"/>
  <cols>
    <col min="1" max="1" width="22" customWidth="1"/>
    <col min="2" max="8" width="18" customWidth="1"/>
  </cols>
  <sheetData>
    <row r="1" spans="1:8" ht="30" customHeight="1" x14ac:dyDescent="0.25">
      <c r="A1" s="185" t="s">
        <v>469</v>
      </c>
      <c r="B1" s="185"/>
      <c r="C1" s="185"/>
      <c r="D1" s="185"/>
      <c r="E1" s="185"/>
      <c r="F1" s="185"/>
      <c r="G1" s="185"/>
      <c r="H1" s="185"/>
    </row>
    <row r="2" spans="1:8" ht="3.75" customHeight="1" x14ac:dyDescent="0.25">
      <c r="A2" s="185"/>
      <c r="B2" s="185"/>
      <c r="C2" s="185"/>
      <c r="D2" s="185"/>
      <c r="E2" s="185"/>
      <c r="F2" s="185"/>
      <c r="G2" s="185"/>
      <c r="H2" s="185"/>
    </row>
    <row r="3" spans="1:8" ht="19.5" customHeight="1" x14ac:dyDescent="0.25">
      <c r="A3" s="186" t="s">
        <v>470</v>
      </c>
      <c r="B3" s="186"/>
      <c r="C3" s="186"/>
      <c r="D3" s="186"/>
      <c r="E3" s="186"/>
      <c r="F3" s="186"/>
      <c r="G3" s="186"/>
      <c r="H3" s="186"/>
    </row>
    <row r="4" spans="1:8" ht="15.75" customHeight="1" x14ac:dyDescent="0.25">
      <c r="A4" s="86" t="s">
        <v>471</v>
      </c>
      <c r="B4" s="86" t="s">
        <v>68</v>
      </c>
      <c r="C4" s="86" t="s">
        <v>70</v>
      </c>
      <c r="D4" s="86" t="s">
        <v>72</v>
      </c>
      <c r="E4" s="86" t="s">
        <v>74</v>
      </c>
    </row>
    <row r="5" spans="1:8" ht="31.5" customHeight="1" x14ac:dyDescent="0.25">
      <c r="A5" s="87">
        <f>COUNTA('Action Tracker'!G6:G77)</f>
        <v>64</v>
      </c>
      <c r="B5" s="88">
        <f>COUNTIF('Action Tracker'!I6:I77,"Not Started")</f>
        <v>63</v>
      </c>
      <c r="C5" s="89">
        <f>COUNTIF('Action Tracker'!I6:I77,"In Progress")</f>
        <v>0</v>
      </c>
      <c r="D5" s="90">
        <f>COUNTIF('Action Tracker'!I6:I77,"Complete")</f>
        <v>0</v>
      </c>
      <c r="E5" s="91">
        <f>COUNTIF('Action Tracker'!I6:I77,"Blocked")</f>
        <v>0</v>
      </c>
    </row>
    <row r="6" spans="1:8" ht="19.5" customHeight="1" x14ac:dyDescent="0.25">
      <c r="A6" s="187" t="str">
        <f>TEXT(COUNTIF('Action Tracker'!I6:I77,"Complete")/COUNTA('Action Tracker'!G6:G77)*100,"0.0")&amp;"% of actions complete"</f>
        <v>0.0% of actions complete</v>
      </c>
      <c r="B6" s="187"/>
      <c r="C6" s="187"/>
      <c r="D6" s="187"/>
      <c r="E6" s="187"/>
      <c r="F6" s="187"/>
      <c r="G6" s="187"/>
      <c r="H6" s="187"/>
    </row>
    <row r="7" spans="1:8" ht="7.5" customHeight="1" x14ac:dyDescent="0.25"/>
    <row r="8" spans="1:8" ht="19.5" customHeight="1" x14ac:dyDescent="0.25">
      <c r="A8" s="186" t="s">
        <v>472</v>
      </c>
      <c r="B8" s="186"/>
      <c r="C8" s="186"/>
      <c r="D8" s="186"/>
      <c r="E8" s="186"/>
      <c r="F8" s="186"/>
      <c r="G8" s="186"/>
      <c r="H8" s="186"/>
    </row>
    <row r="9" spans="1:8" ht="18" customHeight="1" x14ac:dyDescent="0.25">
      <c r="A9" s="47" t="s">
        <v>168</v>
      </c>
      <c r="B9" s="47" t="s">
        <v>473</v>
      </c>
      <c r="C9" s="47" t="s">
        <v>68</v>
      </c>
      <c r="D9" s="47" t="s">
        <v>70</v>
      </c>
      <c r="E9" s="47" t="s">
        <v>72</v>
      </c>
      <c r="F9" s="47" t="s">
        <v>74</v>
      </c>
      <c r="G9" s="47" t="s">
        <v>474</v>
      </c>
    </row>
    <row r="10" spans="1:8" ht="19.5" customHeight="1" x14ac:dyDescent="0.25">
      <c r="A10" s="19" t="s">
        <v>85</v>
      </c>
      <c r="B10" s="92">
        <f>COUNTIF('Action Tracker'!E6:E77,"Jon Eustace")</f>
        <v>6</v>
      </c>
      <c r="C10" s="93">
        <f>COUNTIFS('Action Tracker'!E6:E77,"Jon Eustace",'Action Tracker'!I6:I77,"Not Started")</f>
        <v>6</v>
      </c>
      <c r="D10" s="94">
        <f>COUNTIFS('Action Tracker'!E6:E77,"Jon Eustace",'Action Tracker'!I6:I77,"In Progress")</f>
        <v>0</v>
      </c>
      <c r="E10" s="95">
        <f>COUNTIFS('Action Tracker'!E6:E77,"Jon Eustace",'Action Tracker'!I6:I77,"Complete")</f>
        <v>0</v>
      </c>
      <c r="F10" s="96">
        <f>COUNTIFS('Action Tracker'!E6:E77,"Jon Eustace",'Action Tracker'!I6:I77,"Blocked")</f>
        <v>0</v>
      </c>
      <c r="G10" s="97">
        <f>IFERROR(COUNTIFS('Action Tracker'!E6:E77,"Jon Eustace",'Action Tracker'!I6:I77,"Complete")/COUNTIF('Action Tracker'!E6:E77,"Jon Eustace"),0)</f>
        <v>0</v>
      </c>
    </row>
    <row r="11" spans="1:8" ht="19.5" customHeight="1" x14ac:dyDescent="0.25">
      <c r="A11" s="98" t="s">
        <v>88</v>
      </c>
      <c r="B11" s="99">
        <f>COUNTIF('Action Tracker'!E6:E77,"Olivier Marcotte")</f>
        <v>2</v>
      </c>
      <c r="C11" s="100">
        <f>COUNTIFS('Action Tracker'!E6:E77,"Olivier Marcotte",'Action Tracker'!I6:I77,"Not Started")</f>
        <v>2</v>
      </c>
      <c r="D11" s="101">
        <f>COUNTIFS('Action Tracker'!E6:E77,"Olivier Marcotte",'Action Tracker'!I6:I77,"In Progress")</f>
        <v>0</v>
      </c>
      <c r="E11" s="102">
        <f>COUNTIFS('Action Tracker'!E6:E77,"Olivier Marcotte",'Action Tracker'!I6:I77,"Complete")</f>
        <v>0</v>
      </c>
      <c r="F11" s="103">
        <f>COUNTIFS('Action Tracker'!E6:E77,"Olivier Marcotte",'Action Tracker'!I6:I77,"Blocked")</f>
        <v>0</v>
      </c>
      <c r="G11" s="104">
        <f>IFERROR(COUNTIFS('Action Tracker'!E6:E77,"Olivier Marcotte",'Action Tracker'!I6:I77,"Complete")/COUNTIF('Action Tracker'!E6:E77,"Olivier Marcotte"),0)</f>
        <v>0</v>
      </c>
    </row>
    <row r="12" spans="1:8" ht="19.5" customHeight="1" x14ac:dyDescent="0.25">
      <c r="A12" s="105" t="s">
        <v>91</v>
      </c>
      <c r="B12" s="92">
        <f>COUNTIF('Action Tracker'!E6:E77,"Vinoth Tharma")</f>
        <v>11</v>
      </c>
      <c r="C12" s="93">
        <f>COUNTIFS('Action Tracker'!E6:E77,"Vinoth Tharma",'Action Tracker'!I6:I77,"Not Started")</f>
        <v>11</v>
      </c>
      <c r="D12" s="94">
        <f>COUNTIFS('Action Tracker'!E6:E77,"Vinoth Tharma",'Action Tracker'!I6:I77,"In Progress")</f>
        <v>0</v>
      </c>
      <c r="E12" s="95">
        <f>COUNTIFS('Action Tracker'!E6:E77,"Vinoth Tharma",'Action Tracker'!I6:I77,"Complete")</f>
        <v>0</v>
      </c>
      <c r="F12" s="96">
        <f>COUNTIFS('Action Tracker'!E6:E77,"Vinoth Tharma",'Action Tracker'!I6:I77,"Blocked")</f>
        <v>0</v>
      </c>
      <c r="G12" s="97">
        <f>IFERROR(COUNTIFS('Action Tracker'!E6:E77,"Vinoth Tharma",'Action Tracker'!I6:I77,"Complete")/COUNTIF('Action Tracker'!E6:E77,"Vinoth Tharma"),0)</f>
        <v>0</v>
      </c>
    </row>
    <row r="13" spans="1:8" ht="19.5" customHeight="1" x14ac:dyDescent="0.25">
      <c r="A13" s="106" t="s">
        <v>94</v>
      </c>
      <c r="B13" s="99">
        <f>COUNTIF('Action Tracker'!E6:E77,"Max Aggrey")</f>
        <v>4</v>
      </c>
      <c r="C13" s="100">
        <f>COUNTIFS('Action Tracker'!E6:E77,"Max Aggrey",'Action Tracker'!I6:I77,"Not Started")</f>
        <v>4</v>
      </c>
      <c r="D13" s="101">
        <f>COUNTIFS('Action Tracker'!E6:E77,"Max Aggrey",'Action Tracker'!I6:I77,"In Progress")</f>
        <v>0</v>
      </c>
      <c r="E13" s="102">
        <f>COUNTIFS('Action Tracker'!E6:E77,"Max Aggrey",'Action Tracker'!I6:I77,"Complete")</f>
        <v>0</v>
      </c>
      <c r="F13" s="103">
        <f>COUNTIFS('Action Tracker'!E6:E77,"Max Aggrey",'Action Tracker'!I6:I77,"Blocked")</f>
        <v>0</v>
      </c>
      <c r="G13" s="104">
        <f>IFERROR(COUNTIFS('Action Tracker'!E6:E77,"Max Aggrey",'Action Tracker'!I6:I77,"Complete")/COUNTIF('Action Tracker'!E6:E77,"Max Aggrey"),0)</f>
        <v>0</v>
      </c>
    </row>
    <row r="14" spans="1:8" ht="19.5" customHeight="1" x14ac:dyDescent="0.25">
      <c r="A14" s="107" t="s">
        <v>97</v>
      </c>
      <c r="B14" s="92">
        <f>COUNTIF('Action Tracker'!E6:E77,"Rick Carlton")</f>
        <v>11</v>
      </c>
      <c r="C14" s="93">
        <f>COUNTIFS('Action Tracker'!E6:E77,"Rick Carlton",'Action Tracker'!I6:I77,"Not Started")</f>
        <v>11</v>
      </c>
      <c r="D14" s="94">
        <f>COUNTIFS('Action Tracker'!E6:E77,"Rick Carlton",'Action Tracker'!I6:I77,"In Progress")</f>
        <v>0</v>
      </c>
      <c r="E14" s="95">
        <f>COUNTIFS('Action Tracker'!E6:E77,"Rick Carlton",'Action Tracker'!I6:I77,"Complete")</f>
        <v>0</v>
      </c>
      <c r="F14" s="96">
        <f>COUNTIFS('Action Tracker'!E6:E77,"Rick Carlton",'Action Tracker'!I6:I77,"Blocked")</f>
        <v>0</v>
      </c>
      <c r="G14" s="97">
        <f>IFERROR(COUNTIFS('Action Tracker'!E6:E77,"Rick Carlton",'Action Tracker'!I6:I77,"Complete")/COUNTIF('Action Tracker'!E6:E77,"Rick Carlton"),0)</f>
        <v>0</v>
      </c>
    </row>
    <row r="15" spans="1:8" ht="19.5" customHeight="1" x14ac:dyDescent="0.25">
      <c r="A15" s="45" t="s">
        <v>100</v>
      </c>
      <c r="B15" s="99">
        <f>COUNTIF('Action Tracker'!E6:E77,"Mathieu Beauchesne")</f>
        <v>4</v>
      </c>
      <c r="C15" s="100">
        <f>COUNTIFS('Action Tracker'!E6:E77,"Mathieu Beauchesne",'Action Tracker'!I6:I77,"Not Started")</f>
        <v>4</v>
      </c>
      <c r="D15" s="101">
        <f>COUNTIFS('Action Tracker'!E6:E77,"Mathieu Beauchesne",'Action Tracker'!I6:I77,"In Progress")</f>
        <v>0</v>
      </c>
      <c r="E15" s="102">
        <f>COUNTIFS('Action Tracker'!E6:E77,"Mathieu Beauchesne",'Action Tracker'!I6:I77,"Complete")</f>
        <v>0</v>
      </c>
      <c r="F15" s="103">
        <f>COUNTIFS('Action Tracker'!E6:E77,"Mathieu Beauchesne",'Action Tracker'!I6:I77,"Blocked")</f>
        <v>0</v>
      </c>
      <c r="G15" s="104">
        <f>IFERROR(COUNTIFS('Action Tracker'!E6:E77,"Mathieu Beauchesne",'Action Tracker'!I6:I77,"Complete")/COUNTIF('Action Tracker'!E6:E77,"Mathieu Beauchesne"),0)</f>
        <v>0</v>
      </c>
    </row>
    <row r="16" spans="1:8" ht="19.5" customHeight="1" x14ac:dyDescent="0.25">
      <c r="A16" s="108" t="s">
        <v>82</v>
      </c>
      <c r="B16" s="92">
        <f>COUNTIF('Action Tracker'!E6:E77,"Éric Carmichael")</f>
        <v>0</v>
      </c>
      <c r="C16" s="93">
        <f>COUNTIFS('Action Tracker'!E6:E77,"Éric Carmichael",'Action Tracker'!I6:I77,"Not Started")</f>
        <v>0</v>
      </c>
      <c r="D16" s="94">
        <f>COUNTIFS('Action Tracker'!E6:E77,"Éric Carmichael",'Action Tracker'!I6:I77,"In Progress")</f>
        <v>0</v>
      </c>
      <c r="E16" s="95">
        <f>COUNTIFS('Action Tracker'!E6:E77,"Éric Carmichael",'Action Tracker'!I6:I77,"Complete")</f>
        <v>0</v>
      </c>
      <c r="F16" s="96">
        <f>COUNTIFS('Action Tracker'!E6:E77,"Éric Carmichael",'Action Tracker'!I6:I77,"Blocked")</f>
        <v>0</v>
      </c>
      <c r="G16" s="97">
        <f>IFERROR(COUNTIFS('Action Tracker'!E6:E77,"Éric Carmichael",'Action Tracker'!I6:I77,"Complete")/COUNTIF('Action Tracker'!E6:E77,"Éric Carmichael"),0)</f>
        <v>0</v>
      </c>
    </row>
    <row r="17" spans="1:8" ht="19.5" customHeight="1" x14ac:dyDescent="0.25">
      <c r="A17" s="109" t="s">
        <v>103</v>
      </c>
      <c r="B17" s="99">
        <f>COUNTIF('Action Tracker'!E6:E77,"Alex Cyr")</f>
        <v>1</v>
      </c>
      <c r="C17" s="100">
        <f>COUNTIFS('Action Tracker'!E6:E77,"Alex Cyr",'Action Tracker'!I6:I77,"Not Started")</f>
        <v>1</v>
      </c>
      <c r="D17" s="101">
        <f>COUNTIFS('Action Tracker'!E6:E77,"Alex Cyr",'Action Tracker'!I6:I77,"In Progress")</f>
        <v>0</v>
      </c>
      <c r="E17" s="102">
        <f>COUNTIFS('Action Tracker'!E6:E77,"Alex Cyr",'Action Tracker'!I6:I77,"Complete")</f>
        <v>0</v>
      </c>
      <c r="F17" s="103">
        <f>COUNTIFS('Action Tracker'!E6:E77,"Alex Cyr",'Action Tracker'!I6:I77,"Blocked")</f>
        <v>0</v>
      </c>
      <c r="G17" s="104">
        <f>IFERROR(COUNTIFS('Action Tracker'!E6:E77,"Alex Cyr",'Action Tracker'!I6:I77,"Complete")/COUNTIF('Action Tracker'!E6:E77,"Alex Cyr"),0)</f>
        <v>0</v>
      </c>
    </row>
    <row r="18" spans="1:8" ht="19.5" customHeight="1" x14ac:dyDescent="0.25">
      <c r="A18" s="110" t="s">
        <v>79</v>
      </c>
      <c r="B18" s="92">
        <f>COUNTIF('Action Tracker'!E6:E85,"Shanny Tremblay")</f>
        <v>17</v>
      </c>
      <c r="C18" s="93">
        <f>COUNTIFS('Action Tracker'!E6:E85,"Shanny Tremblay",'Action Tracker'!I6:I85,"Not Started")</f>
        <v>17</v>
      </c>
      <c r="D18" s="94">
        <f>COUNTIFS('Action Tracker'!E6:E85,"Shanny Tremblay",'Action Tracker'!I6:I85,"In Progress")</f>
        <v>0</v>
      </c>
      <c r="E18" s="95">
        <f>COUNTIFS('Action Tracker'!E6:E85,"Shanny Tremblay",'Action Tracker'!I6:I85,"Complete")</f>
        <v>0</v>
      </c>
      <c r="F18" s="96">
        <f>COUNTIFS('Action Tracker'!E6:E85,"Shanny Tremblay",'Action Tracker'!I6:I85,"Blocked")</f>
        <v>0</v>
      </c>
      <c r="G18" s="97" t="s">
        <v>475</v>
      </c>
      <c r="H18" s="80"/>
    </row>
    <row r="19" spans="1:8" ht="15" customHeight="1" x14ac:dyDescent="0.25">
      <c r="A19" s="111" t="s">
        <v>112</v>
      </c>
      <c r="B19" s="92">
        <f>COUNTIF('Action Tracker'!E6:E77,"All Attendees")</f>
        <v>0</v>
      </c>
      <c r="C19" s="93">
        <f>COUNTIFS('Action Tracker'!E6:E77,"All Attendees",'Action Tracker'!I6:I77,"Not Started")</f>
        <v>0</v>
      </c>
      <c r="D19" s="94">
        <f>COUNTIFS('Action Tracker'!E6:E77,"All Attendees",'Action Tracker'!I6:I77,"In Progress")</f>
        <v>0</v>
      </c>
      <c r="E19" s="95">
        <f>COUNTIFS('Action Tracker'!E6:E77,"All Attendees",'Action Tracker'!I6:I77,"Complete")</f>
        <v>0</v>
      </c>
      <c r="F19" s="96">
        <f>COUNTIFS('Action Tracker'!E6:E77,"All Attendees",'Action Tracker'!I6:I77,"Blocked")</f>
        <v>0</v>
      </c>
      <c r="G19" s="97">
        <f>IFERROR(COUNTIFS('Action Tracker'!E6:E77,"All Attendees",'Action Tracker'!I6:I77,"Complete")/COUNTIF('Action Tracker'!E6:E77,"All Attendees"),0)</f>
        <v>0</v>
      </c>
    </row>
    <row r="21" spans="1:8" ht="19.5" customHeight="1" x14ac:dyDescent="0.25">
      <c r="A21" s="1"/>
      <c r="B21" s="1"/>
      <c r="C21" s="1"/>
      <c r="D21" s="1"/>
      <c r="E21" s="1"/>
      <c r="F21" s="1"/>
      <c r="G21" s="1"/>
      <c r="H21" s="1"/>
    </row>
    <row r="22" spans="1:8" ht="18" customHeight="1" x14ac:dyDescent="0.25">
      <c r="A22" s="85" t="s">
        <v>476</v>
      </c>
    </row>
    <row r="23" spans="1:8" ht="21.75" customHeight="1" x14ac:dyDescent="0.25">
      <c r="A23" s="47" t="s">
        <v>164</v>
      </c>
      <c r="B23" s="47" t="s">
        <v>471</v>
      </c>
      <c r="C23" s="47" t="s">
        <v>72</v>
      </c>
      <c r="D23" s="47" t="s">
        <v>474</v>
      </c>
      <c r="E23" s="188" t="s">
        <v>477</v>
      </c>
      <c r="F23" s="188"/>
      <c r="G23" s="188"/>
      <c r="H23" s="188"/>
    </row>
    <row r="24" spans="1:8" ht="21.75" customHeight="1" x14ac:dyDescent="0.25">
      <c r="A24" s="92" t="s">
        <v>180</v>
      </c>
      <c r="B24" s="92">
        <f>COUNTIF('Action Tracker'!A6:A77,"Jan")</f>
        <v>6</v>
      </c>
      <c r="C24" s="95">
        <f>COUNTIFS('Action Tracker'!A6:A77,"Jan",'Action Tracker'!I6:I77,"Complete")</f>
        <v>0</v>
      </c>
      <c r="D24" s="97">
        <f>IFERROR(COUNTIFS('Action Tracker'!A6:A77,"Jan",'Action Tracker'!I6:I77,"Complete")/COUNTIF('Action Tracker'!A6:A77,"Jan"),0)</f>
        <v>0</v>
      </c>
      <c r="E24" s="189" t="s">
        <v>181</v>
      </c>
      <c r="F24" s="189"/>
      <c r="G24" s="189"/>
      <c r="H24" s="189"/>
    </row>
    <row r="25" spans="1:8" ht="21.75" customHeight="1" x14ac:dyDescent="0.25">
      <c r="A25" s="113" t="s">
        <v>212</v>
      </c>
      <c r="B25" s="99">
        <f>COUNTIF('Action Tracker'!A6:A77,"Feb")</f>
        <v>6</v>
      </c>
      <c r="C25" s="102">
        <f>COUNTIFS('Action Tracker'!A6:A77,"Feb",'Action Tracker'!I6:I77,"Complete")</f>
        <v>0</v>
      </c>
      <c r="D25" s="104">
        <f>IFERROR(COUNTIFS('Action Tracker'!A6:A77,"Feb",'Action Tracker'!I6:I77,"Complete")/COUNTIF('Action Tracker'!A6:A77,"Feb"),0)</f>
        <v>0</v>
      </c>
      <c r="E25" s="190" t="s">
        <v>213</v>
      </c>
      <c r="F25" s="190"/>
      <c r="G25" s="190"/>
      <c r="H25" s="190"/>
    </row>
    <row r="26" spans="1:8" ht="21.75" customHeight="1" x14ac:dyDescent="0.25">
      <c r="A26" s="115" t="s">
        <v>235</v>
      </c>
      <c r="B26" s="92">
        <f>COUNTIF('Action Tracker'!A6:A77,"Mar")</f>
        <v>10</v>
      </c>
      <c r="C26" s="95">
        <f>COUNTIFS('Action Tracker'!A6:A77,"Mar",'Action Tracker'!I6:I77,"Complete")</f>
        <v>0</v>
      </c>
      <c r="D26" s="97">
        <f>IFERROR(COUNTIFS('Action Tracker'!A6:A77,"Mar",'Action Tracker'!I6:I77,"Complete")/COUNTIF('Action Tracker'!A6:A77,"Mar"),0)</f>
        <v>0</v>
      </c>
      <c r="E26" s="189" t="s">
        <v>478</v>
      </c>
      <c r="F26" s="189"/>
      <c r="G26" s="189"/>
      <c r="H26" s="189"/>
    </row>
    <row r="27" spans="1:8" ht="21.75" customHeight="1" x14ac:dyDescent="0.25">
      <c r="A27" s="116" t="s">
        <v>276</v>
      </c>
      <c r="B27" s="99">
        <f>COUNTIF('Action Tracker'!A6:A77,"Apr")</f>
        <v>7</v>
      </c>
      <c r="C27" s="102">
        <f>COUNTIFS('Action Tracker'!A6:A77,"Apr",'Action Tracker'!I6:I77,"Complete")</f>
        <v>0</v>
      </c>
      <c r="D27" s="104">
        <f>IFERROR(COUNTIFS('Action Tracker'!A6:A77,"Apr",'Action Tracker'!I6:I77,"Complete")/COUNTIF('Action Tracker'!A6:A77,"Apr"),0)</f>
        <v>0</v>
      </c>
      <c r="E27" s="190" t="s">
        <v>479</v>
      </c>
      <c r="F27" s="190"/>
      <c r="G27" s="190"/>
      <c r="H27" s="190"/>
    </row>
    <row r="28" spans="1:8" ht="21.75" customHeight="1" x14ac:dyDescent="0.25">
      <c r="A28" s="117" t="s">
        <v>305</v>
      </c>
      <c r="B28" s="92">
        <f>COUNTIF('Action Tracker'!A6:A77,"May")</f>
        <v>6</v>
      </c>
      <c r="C28" s="95">
        <f>COUNTIFS('Action Tracker'!A6:A77,"May",'Action Tracker'!I6:I77,"Complete")</f>
        <v>0</v>
      </c>
      <c r="D28" s="97">
        <f>IFERROR(COUNTIFS('Action Tracker'!A6:A77,"May",'Action Tracker'!I6:I77,"Complete")/COUNTIF('Action Tracker'!A6:A77,"May"),0)</f>
        <v>0</v>
      </c>
      <c r="E28" s="189" t="s">
        <v>480</v>
      </c>
      <c r="F28" s="189"/>
      <c r="G28" s="189"/>
      <c r="H28" s="189"/>
    </row>
    <row r="29" spans="1:8" ht="21.75" customHeight="1" x14ac:dyDescent="0.25">
      <c r="A29" s="118" t="s">
        <v>328</v>
      </c>
      <c r="B29" s="99">
        <f>COUNTIF('Action Tracker'!A6:A77,"Jun")</f>
        <v>8</v>
      </c>
      <c r="C29" s="102">
        <f>COUNTIFS('Action Tracker'!A6:A77,"Jun",'Action Tracker'!I6:I77,"Complete")</f>
        <v>0</v>
      </c>
      <c r="D29" s="104">
        <f>IFERROR(COUNTIFS('Action Tracker'!A6:A77,"Jun",'Action Tracker'!I6:I77,"Complete")/COUNTIF('Action Tracker'!A6:A77,"Jun"),0)</f>
        <v>0</v>
      </c>
      <c r="E29" s="190" t="s">
        <v>481</v>
      </c>
      <c r="F29" s="190"/>
      <c r="G29" s="190"/>
      <c r="H29" s="190"/>
    </row>
    <row r="30" spans="1:8" ht="21.75" customHeight="1" x14ac:dyDescent="0.25">
      <c r="A30" s="119" t="s">
        <v>359</v>
      </c>
      <c r="B30" s="92">
        <f>COUNTIF('Action Tracker'!A6:A77,"Jul")</f>
        <v>5</v>
      </c>
      <c r="C30" s="95">
        <f>COUNTIFS('Action Tracker'!A6:A77,"Jul",'Action Tracker'!I6:I77,"Complete")</f>
        <v>0</v>
      </c>
      <c r="D30" s="97">
        <f>IFERROR(COUNTIFS('Action Tracker'!A6:A77,"Jul",'Action Tracker'!I6:I77,"Complete")/COUNTIF('Action Tracker'!A6:A77,"Jul"),0)</f>
        <v>0</v>
      </c>
      <c r="E30" s="189" t="s">
        <v>360</v>
      </c>
      <c r="F30" s="189"/>
      <c r="G30" s="189"/>
      <c r="H30" s="189"/>
    </row>
    <row r="31" spans="1:8" ht="21.75" customHeight="1" x14ac:dyDescent="0.25">
      <c r="A31" s="120" t="s">
        <v>377</v>
      </c>
      <c r="B31" s="99">
        <f>COUNTIF('Action Tracker'!A6:A77,"Aug")</f>
        <v>3</v>
      </c>
      <c r="C31" s="102">
        <f>COUNTIFS('Action Tracker'!A6:A77,"Aug",'Action Tracker'!I6:I77,"Complete")</f>
        <v>0</v>
      </c>
      <c r="D31" s="104">
        <f>IFERROR(COUNTIFS('Action Tracker'!A6:A77,"Aug",'Action Tracker'!I6:I77,"Complete")/COUNTIF('Action Tracker'!A6:A77,"Aug"),0)</f>
        <v>0</v>
      </c>
      <c r="E31" s="190" t="s">
        <v>378</v>
      </c>
      <c r="F31" s="190"/>
      <c r="G31" s="190"/>
      <c r="H31" s="190"/>
    </row>
    <row r="32" spans="1:8" ht="21.75" customHeight="1" x14ac:dyDescent="0.25">
      <c r="A32" s="92" t="s">
        <v>389</v>
      </c>
      <c r="B32" s="92">
        <f>COUNTIF('Action Tracker'!A6:A77,"Sep")</f>
        <v>8</v>
      </c>
      <c r="C32" s="95">
        <f>COUNTIFS('Action Tracker'!A6:A77,"Sep",'Action Tracker'!I6:I77,"Complete")</f>
        <v>0</v>
      </c>
      <c r="D32" s="97">
        <f>IFERROR(COUNTIFS('Action Tracker'!A6:A77,"Sep",'Action Tracker'!I6:I77,"Complete")/COUNTIF('Action Tracker'!A6:A77,"Sep"),0)</f>
        <v>0</v>
      </c>
      <c r="E32" s="189" t="s">
        <v>482</v>
      </c>
      <c r="F32" s="189"/>
      <c r="G32" s="189"/>
      <c r="H32" s="189"/>
    </row>
    <row r="33" spans="1:8" ht="21.75" customHeight="1" x14ac:dyDescent="0.25">
      <c r="A33" s="113" t="s">
        <v>421</v>
      </c>
      <c r="B33" s="99">
        <f>COUNTIF('Action Tracker'!A6:A77,"Oct")</f>
        <v>5</v>
      </c>
      <c r="C33" s="102">
        <f>COUNTIFS('Action Tracker'!A6:A77,"Oct",'Action Tracker'!I6:I77,"Complete")</f>
        <v>0</v>
      </c>
      <c r="D33" s="104">
        <f>IFERROR(COUNTIFS('Action Tracker'!A6:A77,"Oct",'Action Tracker'!I6:I77,"Complete")/COUNTIF('Action Tracker'!A6:A77,"Oct"),0)</f>
        <v>0</v>
      </c>
      <c r="E33" s="190" t="s">
        <v>483</v>
      </c>
      <c r="F33" s="190"/>
      <c r="G33" s="190"/>
      <c r="H33" s="190"/>
    </row>
    <row r="34" spans="1:8" ht="21.75" customHeight="1" x14ac:dyDescent="0.25">
      <c r="A34" s="41" t="s">
        <v>441</v>
      </c>
      <c r="B34" s="92">
        <f>COUNTIF('Action Tracker'!A6:A77,"Ongoing")</f>
        <v>0</v>
      </c>
      <c r="C34" s="95">
        <f>COUNTIFS('Action Tracker'!A6:A77,"Ongoing",'Action Tracker'!I6:I77,"Complete")</f>
        <v>0</v>
      </c>
      <c r="D34" s="97">
        <f>IFERROR(COUNTIFS('Action Tracker'!A6:A77,"Ongoing",'Action Tracker'!I6:I77,"Complete")/COUNTIF('Action Tracker'!A6:A77,"Ongoing"),0)</f>
        <v>0</v>
      </c>
      <c r="E34" s="112" t="s">
        <v>484</v>
      </c>
      <c r="F34" s="80"/>
      <c r="G34" s="80"/>
      <c r="H34" s="80"/>
    </row>
  </sheetData>
  <mergeCells count="16">
    <mergeCell ref="E33:H33"/>
    <mergeCell ref="E28:H28"/>
    <mergeCell ref="E29:H29"/>
    <mergeCell ref="E30:H30"/>
    <mergeCell ref="E31:H31"/>
    <mergeCell ref="E32:H32"/>
    <mergeCell ref="E23:H23"/>
    <mergeCell ref="E24:H24"/>
    <mergeCell ref="E25:H25"/>
    <mergeCell ref="E26:H26"/>
    <mergeCell ref="E27:H27"/>
    <mergeCell ref="A1:H2"/>
    <mergeCell ref="A3:H3"/>
    <mergeCell ref="A6:H6"/>
    <mergeCell ref="A8:H8"/>
    <mergeCell ref="A21:H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1"/>
  <sheetViews>
    <sheetView showGridLines="0" showRowColHeaders="0" zoomScaleNormal="100" workbookViewId="0">
      <pane ySplit="4" topLeftCell="A5" activePane="bottomLeft" state="frozen"/>
      <selection pane="bottomLeft"/>
    </sheetView>
  </sheetViews>
  <sheetFormatPr defaultColWidth="8.7109375" defaultRowHeight="15" x14ac:dyDescent="0.25"/>
  <cols>
    <col min="1" max="1" width="13" customWidth="1"/>
    <col min="2" max="2" width="9" customWidth="1"/>
    <col min="3" max="14" width="30" customWidth="1"/>
    <col min="15" max="15" width="13" customWidth="1"/>
    <col min="16" max="16" width="16" customWidth="1"/>
    <col min="17" max="17" width="22" customWidth="1"/>
    <col min="18" max="18" width="28" customWidth="1"/>
    <col min="19" max="19" width="17" customWidth="1"/>
  </cols>
  <sheetData>
    <row r="1" spans="1:19" ht="30" customHeight="1" x14ac:dyDescent="0.25">
      <c r="A1" s="185" t="s">
        <v>485</v>
      </c>
      <c r="B1" s="185"/>
      <c r="C1" s="185"/>
      <c r="D1" s="185"/>
      <c r="E1" s="185"/>
      <c r="F1" s="185"/>
      <c r="G1" s="185"/>
      <c r="H1" s="185"/>
      <c r="I1" s="185"/>
      <c r="J1" s="185"/>
      <c r="K1" s="185"/>
      <c r="L1" s="185"/>
      <c r="M1" s="185"/>
      <c r="N1" s="185"/>
    </row>
    <row r="2" spans="1:19" ht="3.75" customHeight="1" x14ac:dyDescent="0.25">
      <c r="A2" s="185"/>
      <c r="B2" s="185"/>
      <c r="C2" s="185"/>
      <c r="D2" s="185"/>
      <c r="E2" s="185"/>
      <c r="F2" s="185"/>
      <c r="G2" s="185"/>
      <c r="H2" s="185"/>
      <c r="I2" s="185"/>
      <c r="J2" s="185"/>
      <c r="K2" s="185"/>
      <c r="L2" s="185"/>
      <c r="M2" s="185"/>
      <c r="N2" s="185"/>
    </row>
    <row r="3" spans="1:19" ht="7.5" customHeight="1" x14ac:dyDescent="0.25"/>
    <row r="4" spans="1:19" ht="19.5" customHeight="1" x14ac:dyDescent="0.25">
      <c r="A4" s="47" t="s">
        <v>164</v>
      </c>
      <c r="B4" s="47" t="s">
        <v>166</v>
      </c>
      <c r="C4" s="47" t="s">
        <v>165</v>
      </c>
      <c r="D4" s="47" t="s">
        <v>486</v>
      </c>
      <c r="E4" s="47" t="s">
        <v>487</v>
      </c>
      <c r="F4" s="47" t="s">
        <v>167</v>
      </c>
      <c r="G4" s="47" t="s">
        <v>488</v>
      </c>
      <c r="H4" s="47" t="s">
        <v>489</v>
      </c>
      <c r="I4" s="47" t="s">
        <v>490</v>
      </c>
      <c r="J4" s="47" t="s">
        <v>491</v>
      </c>
      <c r="K4" s="47" t="s">
        <v>492</v>
      </c>
      <c r="L4" s="47" t="s">
        <v>172</v>
      </c>
      <c r="M4" s="47" t="s">
        <v>493</v>
      </c>
      <c r="N4" s="47" t="s">
        <v>494</v>
      </c>
      <c r="O4" s="47" t="s">
        <v>495</v>
      </c>
      <c r="P4" s="47" t="s">
        <v>496</v>
      </c>
      <c r="Q4" s="47" t="s">
        <v>497</v>
      </c>
      <c r="R4" s="47" t="s">
        <v>498</v>
      </c>
      <c r="S4" s="121" t="s">
        <v>499</v>
      </c>
    </row>
    <row r="5" spans="1:19" ht="27.75" customHeight="1" x14ac:dyDescent="0.25">
      <c r="A5" s="99" t="s">
        <v>500</v>
      </c>
      <c r="B5" s="49" t="s">
        <v>182</v>
      </c>
      <c r="C5" s="22" t="s">
        <v>181</v>
      </c>
      <c r="D5" s="82" t="s">
        <v>501</v>
      </c>
      <c r="E5" s="122" t="s">
        <v>502</v>
      </c>
      <c r="F5" s="123" t="s">
        <v>183</v>
      </c>
      <c r="G5" s="99">
        <v>3</v>
      </c>
      <c r="H5" s="124" t="s">
        <v>503</v>
      </c>
      <c r="I5" s="125" t="s">
        <v>504</v>
      </c>
      <c r="J5" s="126">
        <v>6</v>
      </c>
      <c r="K5" s="127">
        <v>38000</v>
      </c>
      <c r="L5" s="54" t="s">
        <v>68</v>
      </c>
      <c r="M5" s="128" t="s">
        <v>505</v>
      </c>
      <c r="N5" s="129"/>
      <c r="O5" s="130">
        <f t="shared" ref="O5:O23" si="0">IF(M5="Approved",K5,IF(M5="Rejected",-K5,IF(M5="On Hold",K5,0)))</f>
        <v>0</v>
      </c>
      <c r="P5" s="131" t="s">
        <v>190</v>
      </c>
      <c r="Q5" s="114" t="s">
        <v>506</v>
      </c>
      <c r="R5" s="65" t="s">
        <v>507</v>
      </c>
      <c r="S5" s="132"/>
    </row>
    <row r="6" spans="1:19" ht="27.75" customHeight="1" x14ac:dyDescent="0.25">
      <c r="A6" s="92" t="s">
        <v>508</v>
      </c>
      <c r="B6" s="49" t="s">
        <v>182</v>
      </c>
      <c r="C6" s="19" t="s">
        <v>213</v>
      </c>
      <c r="D6" s="83" t="s">
        <v>509</v>
      </c>
      <c r="E6" s="133" t="s">
        <v>510</v>
      </c>
      <c r="F6" s="134" t="s">
        <v>214</v>
      </c>
      <c r="G6" s="92">
        <v>5</v>
      </c>
      <c r="H6" s="135" t="s">
        <v>511</v>
      </c>
      <c r="I6" s="125" t="s">
        <v>504</v>
      </c>
      <c r="J6" s="136">
        <v>6</v>
      </c>
      <c r="K6" s="127">
        <v>42000</v>
      </c>
      <c r="L6" s="54" t="s">
        <v>68</v>
      </c>
      <c r="M6" s="128" t="s">
        <v>505</v>
      </c>
      <c r="N6" s="129"/>
      <c r="O6" s="137">
        <f t="shared" si="0"/>
        <v>0</v>
      </c>
      <c r="P6" s="131" t="s">
        <v>190</v>
      </c>
      <c r="Q6" s="112" t="s">
        <v>506</v>
      </c>
      <c r="R6" s="63" t="s">
        <v>507</v>
      </c>
      <c r="S6" s="132"/>
    </row>
    <row r="7" spans="1:19" ht="27.75" customHeight="1" x14ac:dyDescent="0.25">
      <c r="A7" s="99" t="s">
        <v>512</v>
      </c>
      <c r="B7" s="49" t="s">
        <v>182</v>
      </c>
      <c r="C7" s="22" t="s">
        <v>236</v>
      </c>
      <c r="D7" s="82" t="s">
        <v>513</v>
      </c>
      <c r="E7" s="122" t="s">
        <v>514</v>
      </c>
      <c r="F7" s="138" t="s">
        <v>237</v>
      </c>
      <c r="G7" s="99">
        <v>6</v>
      </c>
      <c r="H7" s="124" t="s">
        <v>515</v>
      </c>
      <c r="I7" s="125" t="s">
        <v>504</v>
      </c>
      <c r="J7" s="126">
        <v>7</v>
      </c>
      <c r="K7" s="127">
        <v>55000</v>
      </c>
      <c r="L7" s="54" t="s">
        <v>68</v>
      </c>
      <c r="M7" s="128" t="s">
        <v>505</v>
      </c>
      <c r="N7" s="129"/>
      <c r="O7" s="130">
        <f t="shared" si="0"/>
        <v>0</v>
      </c>
      <c r="P7" s="125" t="s">
        <v>242</v>
      </c>
      <c r="Q7" s="114" t="s">
        <v>79</v>
      </c>
      <c r="R7" s="65" t="s">
        <v>516</v>
      </c>
      <c r="S7" s="132"/>
    </row>
    <row r="8" spans="1:19" ht="27.75" customHeight="1" x14ac:dyDescent="0.25">
      <c r="A8" s="92"/>
      <c r="B8" s="49" t="s">
        <v>182</v>
      </c>
      <c r="C8" s="19" t="s">
        <v>264</v>
      </c>
      <c r="D8" s="83" t="s">
        <v>517</v>
      </c>
      <c r="E8" s="133" t="s">
        <v>502</v>
      </c>
      <c r="F8" s="123" t="s">
        <v>518</v>
      </c>
      <c r="G8" s="92">
        <v>2</v>
      </c>
      <c r="H8" s="135" t="s">
        <v>519</v>
      </c>
      <c r="I8" s="125" t="s">
        <v>504</v>
      </c>
      <c r="J8" s="136">
        <v>3</v>
      </c>
      <c r="K8" s="127">
        <v>28000</v>
      </c>
      <c r="L8" s="54" t="s">
        <v>68</v>
      </c>
      <c r="M8" s="128" t="s">
        <v>505</v>
      </c>
      <c r="N8" s="129"/>
      <c r="O8" s="137">
        <f t="shared" si="0"/>
        <v>0</v>
      </c>
      <c r="P8" s="131" t="s">
        <v>190</v>
      </c>
      <c r="Q8" s="112" t="s">
        <v>506</v>
      </c>
      <c r="R8" s="63" t="s">
        <v>507</v>
      </c>
      <c r="S8" s="132"/>
    </row>
    <row r="9" spans="1:19" ht="27.75" customHeight="1" x14ac:dyDescent="0.25">
      <c r="A9" s="99" t="s">
        <v>520</v>
      </c>
      <c r="B9" s="49" t="s">
        <v>182</v>
      </c>
      <c r="C9" s="22" t="s">
        <v>277</v>
      </c>
      <c r="D9" s="82" t="s">
        <v>521</v>
      </c>
      <c r="E9" s="122" t="s">
        <v>522</v>
      </c>
      <c r="F9" s="139" t="s">
        <v>253</v>
      </c>
      <c r="G9" s="99">
        <v>4</v>
      </c>
      <c r="H9" s="124" t="s">
        <v>523</v>
      </c>
      <c r="I9" s="53" t="s">
        <v>449</v>
      </c>
      <c r="J9" s="126">
        <v>5</v>
      </c>
      <c r="K9" s="127">
        <v>22000</v>
      </c>
      <c r="L9" s="54" t="s">
        <v>68</v>
      </c>
      <c r="M9" s="128" t="s">
        <v>505</v>
      </c>
      <c r="N9" s="129"/>
      <c r="O9" s="130">
        <f t="shared" si="0"/>
        <v>0</v>
      </c>
      <c r="P9" s="125" t="s">
        <v>242</v>
      </c>
      <c r="Q9" s="114" t="s">
        <v>79</v>
      </c>
      <c r="R9" s="65" t="s">
        <v>516</v>
      </c>
      <c r="S9" s="132"/>
    </row>
    <row r="10" spans="1:19" ht="27.75" customHeight="1" x14ac:dyDescent="0.25">
      <c r="A10" s="92"/>
      <c r="B10" s="77" t="s">
        <v>296</v>
      </c>
      <c r="C10" s="19" t="s">
        <v>295</v>
      </c>
      <c r="D10" s="83" t="s">
        <v>524</v>
      </c>
      <c r="E10" s="133" t="s">
        <v>525</v>
      </c>
      <c r="F10" s="140" t="s">
        <v>297</v>
      </c>
      <c r="G10" s="92">
        <v>3</v>
      </c>
      <c r="H10" s="135" t="s">
        <v>526</v>
      </c>
      <c r="I10" s="62" t="s">
        <v>449</v>
      </c>
      <c r="J10" s="136">
        <v>2</v>
      </c>
      <c r="K10" s="127">
        <v>8000</v>
      </c>
      <c r="L10" s="54" t="s">
        <v>68</v>
      </c>
      <c r="M10" s="128" t="s">
        <v>505</v>
      </c>
      <c r="N10" s="129"/>
      <c r="O10" s="137">
        <f t="shared" si="0"/>
        <v>0</v>
      </c>
      <c r="P10" s="125" t="s">
        <v>242</v>
      </c>
      <c r="Q10" s="112" t="s">
        <v>79</v>
      </c>
      <c r="R10" s="63" t="s">
        <v>516</v>
      </c>
      <c r="S10" s="132"/>
    </row>
    <row r="11" spans="1:19" ht="27.75" customHeight="1" x14ac:dyDescent="0.25">
      <c r="A11" s="99" t="s">
        <v>305</v>
      </c>
      <c r="B11" s="79" t="s">
        <v>307</v>
      </c>
      <c r="C11" s="22" t="s">
        <v>306</v>
      </c>
      <c r="D11" s="82" t="s">
        <v>527</v>
      </c>
      <c r="E11" s="122" t="s">
        <v>528</v>
      </c>
      <c r="F11" s="140" t="s">
        <v>297</v>
      </c>
      <c r="G11" s="99">
        <v>2</v>
      </c>
      <c r="H11" s="124" t="s">
        <v>529</v>
      </c>
      <c r="I11" s="53" t="s">
        <v>449</v>
      </c>
      <c r="J11" s="126">
        <v>3</v>
      </c>
      <c r="K11" s="127">
        <v>18000</v>
      </c>
      <c r="L11" s="54" t="s">
        <v>68</v>
      </c>
      <c r="M11" s="128" t="s">
        <v>505</v>
      </c>
      <c r="N11" s="129"/>
      <c r="O11" s="130">
        <f t="shared" si="0"/>
        <v>0</v>
      </c>
      <c r="P11" s="125" t="s">
        <v>242</v>
      </c>
      <c r="Q11" s="114" t="s">
        <v>79</v>
      </c>
      <c r="R11" s="65" t="s">
        <v>516</v>
      </c>
      <c r="S11" s="132"/>
    </row>
    <row r="12" spans="1:19" ht="27.75" customHeight="1" x14ac:dyDescent="0.25">
      <c r="A12" s="92"/>
      <c r="B12" s="79" t="s">
        <v>307</v>
      </c>
      <c r="C12" s="19" t="s">
        <v>318</v>
      </c>
      <c r="D12" s="83" t="s">
        <v>530</v>
      </c>
      <c r="E12" s="133" t="s">
        <v>531</v>
      </c>
      <c r="F12" s="134" t="s">
        <v>214</v>
      </c>
      <c r="G12" s="92">
        <v>2</v>
      </c>
      <c r="H12" s="135" t="s">
        <v>532</v>
      </c>
      <c r="I12" s="62" t="s">
        <v>449</v>
      </c>
      <c r="J12" s="136">
        <v>2</v>
      </c>
      <c r="K12" s="127">
        <v>9000</v>
      </c>
      <c r="L12" s="54" t="s">
        <v>68</v>
      </c>
      <c r="M12" s="128" t="s">
        <v>505</v>
      </c>
      <c r="N12" s="129"/>
      <c r="O12" s="137">
        <f t="shared" si="0"/>
        <v>0</v>
      </c>
      <c r="P12" s="125" t="s">
        <v>242</v>
      </c>
      <c r="Q12" s="112" t="s">
        <v>79</v>
      </c>
      <c r="R12" s="63" t="s">
        <v>516</v>
      </c>
      <c r="S12" s="132"/>
    </row>
    <row r="13" spans="1:19" ht="27.75" customHeight="1" x14ac:dyDescent="0.25">
      <c r="A13" s="99" t="s">
        <v>533</v>
      </c>
      <c r="B13" s="49" t="s">
        <v>182</v>
      </c>
      <c r="C13" s="22" t="s">
        <v>329</v>
      </c>
      <c r="D13" s="82" t="s">
        <v>534</v>
      </c>
      <c r="E13" s="122" t="s">
        <v>535</v>
      </c>
      <c r="F13" s="138" t="s">
        <v>237</v>
      </c>
      <c r="G13" s="99">
        <v>5</v>
      </c>
      <c r="H13" s="124" t="s">
        <v>536</v>
      </c>
      <c r="I13" s="125" t="s">
        <v>504</v>
      </c>
      <c r="J13" s="126">
        <v>5</v>
      </c>
      <c r="K13" s="127">
        <v>72000</v>
      </c>
      <c r="L13" s="54" t="s">
        <v>68</v>
      </c>
      <c r="M13" s="128" t="s">
        <v>505</v>
      </c>
      <c r="N13" s="129"/>
      <c r="O13" s="130">
        <f t="shared" si="0"/>
        <v>0</v>
      </c>
      <c r="P13" s="141" t="s">
        <v>334</v>
      </c>
      <c r="Q13" s="114" t="s">
        <v>537</v>
      </c>
      <c r="R13" s="65" t="s">
        <v>538</v>
      </c>
      <c r="S13" s="132"/>
    </row>
    <row r="14" spans="1:19" ht="27.75" customHeight="1" x14ac:dyDescent="0.25">
      <c r="A14" s="92"/>
      <c r="B14" s="79" t="s">
        <v>307</v>
      </c>
      <c r="C14" s="19" t="s">
        <v>349</v>
      </c>
      <c r="D14" s="83" t="s">
        <v>539</v>
      </c>
      <c r="E14" s="133" t="s">
        <v>540</v>
      </c>
      <c r="F14" s="134" t="s">
        <v>214</v>
      </c>
      <c r="G14" s="92">
        <v>2</v>
      </c>
      <c r="H14" s="135" t="s">
        <v>541</v>
      </c>
      <c r="I14" s="125" t="s">
        <v>504</v>
      </c>
      <c r="J14" s="136">
        <v>3</v>
      </c>
      <c r="K14" s="127">
        <v>18000</v>
      </c>
      <c r="L14" s="54" t="s">
        <v>68</v>
      </c>
      <c r="M14" s="128" t="s">
        <v>505</v>
      </c>
      <c r="N14" s="129"/>
      <c r="O14" s="137">
        <f t="shared" si="0"/>
        <v>0</v>
      </c>
      <c r="P14" s="125" t="s">
        <v>242</v>
      </c>
      <c r="Q14" s="112" t="s">
        <v>79</v>
      </c>
      <c r="R14" s="63" t="s">
        <v>516</v>
      </c>
      <c r="S14" s="132"/>
    </row>
    <row r="15" spans="1:19" ht="27.75" customHeight="1" x14ac:dyDescent="0.25">
      <c r="A15" s="99" t="s">
        <v>542</v>
      </c>
      <c r="B15" s="49" t="s">
        <v>182</v>
      </c>
      <c r="C15" s="22" t="s">
        <v>360</v>
      </c>
      <c r="D15" s="82" t="s">
        <v>543</v>
      </c>
      <c r="E15" s="122" t="s">
        <v>544</v>
      </c>
      <c r="F15" s="123" t="s">
        <v>518</v>
      </c>
      <c r="G15" s="99">
        <v>3</v>
      </c>
      <c r="H15" s="124" t="s">
        <v>545</v>
      </c>
      <c r="I15" s="125" t="s">
        <v>504</v>
      </c>
      <c r="J15" s="126">
        <v>5</v>
      </c>
      <c r="K15" s="127">
        <v>42000</v>
      </c>
      <c r="L15" s="54" t="s">
        <v>68</v>
      </c>
      <c r="M15" s="128" t="s">
        <v>505</v>
      </c>
      <c r="N15" s="129"/>
      <c r="O15" s="130">
        <f t="shared" si="0"/>
        <v>0</v>
      </c>
      <c r="P15" s="125" t="s">
        <v>242</v>
      </c>
      <c r="Q15" s="114" t="s">
        <v>79</v>
      </c>
      <c r="R15" s="65" t="s">
        <v>516</v>
      </c>
      <c r="S15" s="132"/>
    </row>
    <row r="16" spans="1:19" ht="27.75" customHeight="1" x14ac:dyDescent="0.25">
      <c r="A16" s="92" t="s">
        <v>546</v>
      </c>
      <c r="B16" s="79" t="s">
        <v>307</v>
      </c>
      <c r="C16" s="19" t="s">
        <v>378</v>
      </c>
      <c r="D16" s="83" t="s">
        <v>547</v>
      </c>
      <c r="E16" s="133" t="s">
        <v>548</v>
      </c>
      <c r="F16" s="140" t="s">
        <v>297</v>
      </c>
      <c r="G16" s="92">
        <v>2</v>
      </c>
      <c r="H16" s="135" t="s">
        <v>549</v>
      </c>
      <c r="I16" s="62" t="s">
        <v>449</v>
      </c>
      <c r="J16" s="136">
        <v>3</v>
      </c>
      <c r="K16" s="127">
        <v>28000</v>
      </c>
      <c r="L16" s="54" t="s">
        <v>68</v>
      </c>
      <c r="M16" s="128" t="s">
        <v>505</v>
      </c>
      <c r="N16" s="129"/>
      <c r="O16" s="137">
        <f t="shared" si="0"/>
        <v>0</v>
      </c>
      <c r="P16" s="125" t="s">
        <v>242</v>
      </c>
      <c r="Q16" s="112" t="s">
        <v>79</v>
      </c>
      <c r="R16" s="63" t="s">
        <v>516</v>
      </c>
      <c r="S16" s="132"/>
    </row>
    <row r="17" spans="1:19" ht="27.75" customHeight="1" x14ac:dyDescent="0.25">
      <c r="A17" s="99" t="s">
        <v>550</v>
      </c>
      <c r="B17" s="49" t="s">
        <v>182</v>
      </c>
      <c r="C17" s="22" t="s">
        <v>390</v>
      </c>
      <c r="D17" s="82" t="s">
        <v>551</v>
      </c>
      <c r="E17" s="122" t="s">
        <v>514</v>
      </c>
      <c r="F17" s="123" t="s">
        <v>183</v>
      </c>
      <c r="G17" s="99">
        <v>2</v>
      </c>
      <c r="H17" s="124" t="s">
        <v>552</v>
      </c>
      <c r="I17" s="125" t="s">
        <v>504</v>
      </c>
      <c r="J17" s="126">
        <v>5</v>
      </c>
      <c r="K17" s="127">
        <v>32000</v>
      </c>
      <c r="L17" s="54" t="s">
        <v>68</v>
      </c>
      <c r="M17" s="128" t="s">
        <v>505</v>
      </c>
      <c r="N17" s="129"/>
      <c r="O17" s="130">
        <f t="shared" si="0"/>
        <v>0</v>
      </c>
      <c r="P17" s="125" t="s">
        <v>242</v>
      </c>
      <c r="Q17" s="114" t="s">
        <v>79</v>
      </c>
      <c r="R17" s="65" t="s">
        <v>516</v>
      </c>
      <c r="S17" s="132"/>
    </row>
    <row r="18" spans="1:19" ht="27.75" customHeight="1" x14ac:dyDescent="0.25">
      <c r="A18" s="92"/>
      <c r="B18" s="49" t="s">
        <v>182</v>
      </c>
      <c r="C18" s="19" t="s">
        <v>408</v>
      </c>
      <c r="D18" s="83" t="s">
        <v>553</v>
      </c>
      <c r="E18" s="133" t="s">
        <v>514</v>
      </c>
      <c r="F18" s="123" t="s">
        <v>183</v>
      </c>
      <c r="G18" s="92">
        <v>2</v>
      </c>
      <c r="H18" s="135" t="s">
        <v>519</v>
      </c>
      <c r="I18" s="125" t="s">
        <v>504</v>
      </c>
      <c r="J18" s="136">
        <v>3</v>
      </c>
      <c r="K18" s="127">
        <v>26000</v>
      </c>
      <c r="L18" s="54" t="s">
        <v>68</v>
      </c>
      <c r="M18" s="128" t="s">
        <v>505</v>
      </c>
      <c r="N18" s="129"/>
      <c r="O18" s="137">
        <f t="shared" si="0"/>
        <v>0</v>
      </c>
      <c r="P18" s="125" t="s">
        <v>242</v>
      </c>
      <c r="Q18" s="112" t="s">
        <v>79</v>
      </c>
      <c r="R18" s="63" t="s">
        <v>516</v>
      </c>
      <c r="S18" s="132"/>
    </row>
    <row r="19" spans="1:19" ht="27.75" customHeight="1" x14ac:dyDescent="0.25">
      <c r="A19" s="99"/>
      <c r="B19" s="79" t="s">
        <v>307</v>
      </c>
      <c r="C19" s="22" t="s">
        <v>412</v>
      </c>
      <c r="D19" s="82" t="s">
        <v>554</v>
      </c>
      <c r="E19" s="122" t="s">
        <v>555</v>
      </c>
      <c r="F19" s="134" t="s">
        <v>214</v>
      </c>
      <c r="G19" s="99">
        <v>2</v>
      </c>
      <c r="H19" s="124" t="s">
        <v>556</v>
      </c>
      <c r="I19" s="125" t="s">
        <v>504</v>
      </c>
      <c r="J19" s="126">
        <v>2</v>
      </c>
      <c r="K19" s="127">
        <v>12000</v>
      </c>
      <c r="L19" s="54" t="s">
        <v>68</v>
      </c>
      <c r="M19" s="128" t="s">
        <v>505</v>
      </c>
      <c r="N19" s="129"/>
      <c r="O19" s="130">
        <f t="shared" si="0"/>
        <v>0</v>
      </c>
      <c r="P19" s="125" t="s">
        <v>242</v>
      </c>
      <c r="Q19" s="114" t="s">
        <v>79</v>
      </c>
      <c r="R19" s="65" t="s">
        <v>516</v>
      </c>
      <c r="S19" s="132"/>
    </row>
    <row r="20" spans="1:19" ht="27.75" customHeight="1" x14ac:dyDescent="0.25">
      <c r="A20" s="92" t="s">
        <v>557</v>
      </c>
      <c r="B20" s="49" t="s">
        <v>182</v>
      </c>
      <c r="C20" s="19" t="s">
        <v>422</v>
      </c>
      <c r="D20" s="83" t="s">
        <v>558</v>
      </c>
      <c r="E20" s="133" t="s">
        <v>559</v>
      </c>
      <c r="F20" s="134" t="s">
        <v>214</v>
      </c>
      <c r="G20" s="92">
        <v>4</v>
      </c>
      <c r="H20" s="135" t="s">
        <v>560</v>
      </c>
      <c r="I20" s="125" t="s">
        <v>504</v>
      </c>
      <c r="J20" s="136">
        <v>5</v>
      </c>
      <c r="K20" s="127">
        <v>68000</v>
      </c>
      <c r="L20" s="54" t="s">
        <v>68</v>
      </c>
      <c r="M20" s="128" t="s">
        <v>505</v>
      </c>
      <c r="N20" s="129"/>
      <c r="O20" s="137">
        <f t="shared" si="0"/>
        <v>0</v>
      </c>
      <c r="P20" s="141" t="s">
        <v>334</v>
      </c>
      <c r="Q20" s="112" t="s">
        <v>537</v>
      </c>
      <c r="R20" s="63" t="s">
        <v>538</v>
      </c>
      <c r="S20" s="132"/>
    </row>
    <row r="21" spans="1:19" ht="27.75" customHeight="1" x14ac:dyDescent="0.25">
      <c r="A21" s="99"/>
      <c r="B21" s="58" t="s">
        <v>437</v>
      </c>
      <c r="C21" s="22" t="s">
        <v>561</v>
      </c>
      <c r="D21" s="82" t="s">
        <v>562</v>
      </c>
      <c r="E21" s="122" t="s">
        <v>563</v>
      </c>
      <c r="F21" s="123" t="s">
        <v>518</v>
      </c>
      <c r="G21" s="99">
        <v>2</v>
      </c>
      <c r="H21" s="124" t="s">
        <v>564</v>
      </c>
      <c r="I21" s="125" t="s">
        <v>504</v>
      </c>
      <c r="J21" s="126">
        <v>4</v>
      </c>
      <c r="K21" s="127">
        <v>36000</v>
      </c>
      <c r="L21" s="54" t="s">
        <v>68</v>
      </c>
      <c r="M21" s="128" t="s">
        <v>505</v>
      </c>
      <c r="N21" s="129"/>
      <c r="O21" s="130">
        <f t="shared" si="0"/>
        <v>0</v>
      </c>
      <c r="P21" s="125" t="s">
        <v>242</v>
      </c>
      <c r="Q21" s="114" t="s">
        <v>79</v>
      </c>
      <c r="R21" s="65" t="s">
        <v>516</v>
      </c>
      <c r="S21" s="132"/>
    </row>
    <row r="22" spans="1:19" ht="27.75" customHeight="1" x14ac:dyDescent="0.25">
      <c r="A22" s="92" t="s">
        <v>565</v>
      </c>
      <c r="B22" s="58" t="s">
        <v>437</v>
      </c>
      <c r="C22" s="19" t="s">
        <v>566</v>
      </c>
      <c r="D22" s="83" t="s">
        <v>567</v>
      </c>
      <c r="E22" s="133" t="s">
        <v>544</v>
      </c>
      <c r="F22" s="123" t="s">
        <v>183</v>
      </c>
      <c r="G22" s="92">
        <v>2</v>
      </c>
      <c r="H22" s="135" t="s">
        <v>568</v>
      </c>
      <c r="I22" s="125" t="s">
        <v>504</v>
      </c>
      <c r="J22" s="136">
        <v>4</v>
      </c>
      <c r="K22" s="127">
        <v>32000</v>
      </c>
      <c r="L22" s="54" t="s">
        <v>68</v>
      </c>
      <c r="M22" s="128" t="s">
        <v>505</v>
      </c>
      <c r="N22" s="129"/>
      <c r="O22" s="137">
        <f t="shared" si="0"/>
        <v>0</v>
      </c>
      <c r="P22" s="131" t="s">
        <v>190</v>
      </c>
      <c r="Q22" s="112" t="s">
        <v>506</v>
      </c>
      <c r="R22" s="63" t="s">
        <v>507</v>
      </c>
      <c r="S22" s="132"/>
    </row>
    <row r="23" spans="1:19" ht="27.75" customHeight="1" x14ac:dyDescent="0.25">
      <c r="A23" s="99" t="s">
        <v>441</v>
      </c>
      <c r="B23" s="49" t="s">
        <v>182</v>
      </c>
      <c r="C23" s="22" t="s">
        <v>569</v>
      </c>
      <c r="D23" s="82" t="s">
        <v>570</v>
      </c>
      <c r="E23" s="122" t="s">
        <v>571</v>
      </c>
      <c r="F23" s="138" t="s">
        <v>572</v>
      </c>
      <c r="G23" s="99">
        <v>6</v>
      </c>
      <c r="H23" s="124" t="s">
        <v>573</v>
      </c>
      <c r="I23" s="125" t="s">
        <v>504</v>
      </c>
      <c r="J23" s="126">
        <v>4</v>
      </c>
      <c r="K23" s="127">
        <v>58000</v>
      </c>
      <c r="L23" s="54" t="s">
        <v>68</v>
      </c>
      <c r="M23" s="128" t="s">
        <v>505</v>
      </c>
      <c r="N23" s="129"/>
      <c r="O23" s="130">
        <f t="shared" si="0"/>
        <v>0</v>
      </c>
      <c r="P23" s="131" t="s">
        <v>190</v>
      </c>
      <c r="Q23" s="114" t="s">
        <v>506</v>
      </c>
      <c r="R23" s="65" t="s">
        <v>507</v>
      </c>
      <c r="S23" s="132"/>
    </row>
    <row r="24" spans="1:19" ht="24" customHeight="1" x14ac:dyDescent="0.25">
      <c r="A24" s="191" t="s">
        <v>574</v>
      </c>
      <c r="B24" s="191"/>
      <c r="C24" s="191"/>
      <c r="D24" s="191"/>
      <c r="E24" s="191"/>
      <c r="F24" s="191"/>
      <c r="G24" s="191"/>
      <c r="H24" s="191"/>
      <c r="I24" s="191"/>
      <c r="J24" s="191"/>
      <c r="K24" s="142">
        <f>SUM(K5:K23)</f>
        <v>644000</v>
      </c>
    </row>
    <row r="25" spans="1:19" ht="21.75" customHeight="1" x14ac:dyDescent="0.25">
      <c r="A25" s="192" t="s">
        <v>575</v>
      </c>
      <c r="B25" s="192"/>
      <c r="C25" s="192"/>
      <c r="D25" s="192"/>
      <c r="E25" s="192"/>
      <c r="F25" s="192"/>
      <c r="G25" s="192"/>
      <c r="H25" s="192"/>
      <c r="I25" s="192"/>
      <c r="J25" s="192"/>
      <c r="K25" s="192"/>
      <c r="L25" s="192"/>
      <c r="M25" s="143">
        <f>SUMIF(M5:M23,"Approved",K5:K23)</f>
        <v>0</v>
      </c>
      <c r="N25" s="144"/>
      <c r="O25" s="144"/>
      <c r="S25" s="145">
        <f>SUMIF(M5:M23,"Approved",S5:S23)</f>
        <v>0</v>
      </c>
    </row>
    <row r="26" spans="1:19" ht="21.75" customHeight="1" x14ac:dyDescent="0.25">
      <c r="A26" s="193" t="s">
        <v>576</v>
      </c>
      <c r="B26" s="193"/>
      <c r="C26" s="193"/>
      <c r="D26" s="193"/>
      <c r="E26" s="193"/>
      <c r="F26" s="193"/>
      <c r="G26" s="193"/>
      <c r="H26" s="193"/>
      <c r="I26" s="193"/>
      <c r="J26" s="193"/>
      <c r="K26" s="193"/>
      <c r="L26" s="193"/>
      <c r="M26" s="146">
        <f>SUMIF(M5:M23,"On Hold",K5:K23)</f>
        <v>0</v>
      </c>
      <c r="N26" s="144"/>
      <c r="O26" s="144"/>
      <c r="S26" s="147">
        <f>SUMIF(M5:M23,"On Hold",S5:S23)</f>
        <v>0</v>
      </c>
    </row>
    <row r="27" spans="1:19" ht="21.75" customHeight="1" x14ac:dyDescent="0.25">
      <c r="A27" s="194" t="s">
        <v>577</v>
      </c>
      <c r="B27" s="194"/>
      <c r="C27" s="194"/>
      <c r="D27" s="194"/>
      <c r="E27" s="194"/>
      <c r="F27" s="194"/>
      <c r="G27" s="194"/>
      <c r="H27" s="194"/>
      <c r="I27" s="194"/>
      <c r="J27" s="194"/>
      <c r="K27" s="194"/>
      <c r="L27" s="194"/>
      <c r="M27" s="148">
        <f>SUMIF(M5:M23,"Rejected",K5:K23)</f>
        <v>0</v>
      </c>
      <c r="N27" s="144"/>
      <c r="O27" s="144"/>
      <c r="S27" s="149">
        <f>SUMIF(M5:M23,"Rejected",S5:S23)</f>
        <v>0</v>
      </c>
    </row>
    <row r="28" spans="1:19" ht="21.75" customHeight="1" x14ac:dyDescent="0.25">
      <c r="A28" s="195" t="s">
        <v>578</v>
      </c>
      <c r="B28" s="195"/>
      <c r="C28" s="195"/>
      <c r="D28" s="195"/>
      <c r="E28" s="195"/>
      <c r="F28" s="195"/>
      <c r="G28" s="195"/>
      <c r="H28" s="195"/>
      <c r="I28" s="195"/>
      <c r="J28" s="195"/>
      <c r="K28" s="195"/>
      <c r="L28" s="195"/>
      <c r="M28" s="150">
        <f>SUMIF(M5:M23,"Pending",K5:K23)</f>
        <v>644000</v>
      </c>
      <c r="N28" s="144"/>
      <c r="O28" s="144"/>
      <c r="S28" s="151">
        <f>SUMIF(M5:M23,"Pending",S5:S23)</f>
        <v>0</v>
      </c>
    </row>
    <row r="30" spans="1:19" ht="33.75" customHeight="1" x14ac:dyDescent="0.25">
      <c r="A30" s="196" t="s">
        <v>579</v>
      </c>
      <c r="B30" s="196"/>
      <c r="C30" s="196"/>
      <c r="D30" s="196"/>
      <c r="E30" s="196"/>
      <c r="F30" s="196"/>
      <c r="G30" s="196"/>
      <c r="H30" s="196"/>
      <c r="I30" s="196"/>
      <c r="J30" s="196"/>
      <c r="K30" s="196"/>
      <c r="L30" s="196"/>
      <c r="M30" s="196"/>
      <c r="N30" s="196"/>
      <c r="O30" s="196"/>
    </row>
    <row r="31" spans="1:19" ht="30" customHeight="1" x14ac:dyDescent="0.25">
      <c r="A31" s="196" t="s">
        <v>580</v>
      </c>
      <c r="B31" s="196"/>
      <c r="C31" s="196"/>
      <c r="D31" s="196"/>
      <c r="E31" s="196"/>
      <c r="F31" s="196"/>
      <c r="G31" s="196"/>
      <c r="H31" s="196"/>
      <c r="I31" s="196"/>
      <c r="J31" s="196"/>
      <c r="K31" s="196"/>
      <c r="L31" s="196"/>
      <c r="M31" s="196"/>
      <c r="N31" s="196"/>
      <c r="O31" s="196"/>
      <c r="P31" s="196"/>
      <c r="Q31" s="196"/>
      <c r="R31" s="196"/>
      <c r="S31" s="196"/>
    </row>
  </sheetData>
  <mergeCells count="8">
    <mergeCell ref="A28:L28"/>
    <mergeCell ref="A30:O30"/>
    <mergeCell ref="A31:S31"/>
    <mergeCell ref="A1:N2"/>
    <mergeCell ref="A24:J24"/>
    <mergeCell ref="A25:L25"/>
    <mergeCell ref="A26:L26"/>
    <mergeCell ref="A27:L27"/>
  </mergeCells>
  <conditionalFormatting sqref="M5:M23">
    <cfRule type="expression" dxfId="32" priority="2">
      <formula>$M5="Approved"</formula>
    </cfRule>
    <cfRule type="expression" dxfId="31" priority="3">
      <formula>$M5="Rejected"</formula>
    </cfRule>
    <cfRule type="expression" dxfId="30" priority="4">
      <formula>$M5="Approved"</formula>
    </cfRule>
    <cfRule type="expression" dxfId="29" priority="5">
      <formula>$M5="Rejected"</formula>
    </cfRule>
    <cfRule type="expression" dxfId="28" priority="6">
      <formula>$M5="On Hold"</formula>
    </cfRule>
    <cfRule type="expression" dxfId="27" priority="7">
      <formula>$M5="Pending"</formula>
    </cfRule>
    <cfRule type="expression" dxfId="26" priority="8">
      <formula>$M5="Approved"</formula>
    </cfRule>
    <cfRule type="expression" dxfId="25" priority="9">
      <formula>$M5="Rejected"</formula>
    </cfRule>
    <cfRule type="expression" dxfId="24" priority="10">
      <formula>$M5="On Hold"</formula>
    </cfRule>
    <cfRule type="expression" dxfId="23" priority="11">
      <formula>$M5="Pending"</formula>
    </cfRule>
  </conditionalFormatting>
  <conditionalFormatting sqref="P5:P23">
    <cfRule type="expression" dxfId="22" priority="12">
      <formula>$P5="BU Services"</formula>
    </cfRule>
    <cfRule type="expression" dxfId="21" priority="13">
      <formula>$P5="Ekoscan BU"</formula>
    </cfRule>
    <cfRule type="expression" dxfId="20" priority="14">
      <formula>$P5="Joint"</formula>
    </cfRule>
    <cfRule type="expression" dxfId="19" priority="15">
      <formula>$P5="BU Services"</formula>
    </cfRule>
    <cfRule type="expression" dxfId="18" priority="16">
      <formula>$P5="Ekoscan BU"</formula>
    </cfRule>
    <cfRule type="expression" dxfId="17" priority="17">
      <formula>$P5="Joint"</formula>
    </cfRule>
  </conditionalFormatting>
  <dataValidations count="2">
    <dataValidation type="list" showErrorMessage="1" error="Select: Approved, On Hold, Rejected, or Pending" sqref="M5:M23" xr:uid="{00000000-0002-0000-0300-000000000000}">
      <formula1>"Approved,On Hold,Rejected,Pending"</formula1>
      <formula2>0</formula2>
    </dataValidation>
    <dataValidation type="list" sqref="P5:P23" xr:uid="{00000000-0002-0000-0300-000001000000}">
      <formula1>"BU Services,Ekoscan BU,Joint"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81"/>
  <sheetViews>
    <sheetView showGridLines="0" showRowColHeaders="0" zoomScaleNormal="100" workbookViewId="0">
      <pane ySplit="6" topLeftCell="A7" activePane="bottomLeft" state="frozen"/>
      <selection pane="bottomLeft"/>
    </sheetView>
  </sheetViews>
  <sheetFormatPr defaultColWidth="8.7109375" defaultRowHeight="15" x14ac:dyDescent="0.25"/>
  <cols>
    <col min="1" max="1" width="18" customWidth="1"/>
    <col min="2" max="2" width="11" customWidth="1"/>
    <col min="3" max="4" width="15" customWidth="1"/>
    <col min="5" max="5" width="22" customWidth="1"/>
    <col min="6" max="6" width="26" customWidth="1"/>
    <col min="7" max="7" width="22" customWidth="1"/>
    <col min="8" max="8" width="14" customWidth="1"/>
    <col min="9" max="9" width="12" customWidth="1"/>
    <col min="10" max="10" width="15" customWidth="1"/>
    <col min="11" max="11" width="12" customWidth="1"/>
    <col min="12" max="12" width="14" customWidth="1"/>
    <col min="13" max="13" width="16" customWidth="1"/>
    <col min="14" max="14" width="13" customWidth="1"/>
    <col min="15" max="15" width="20" customWidth="1"/>
    <col min="16" max="16" width="11" customWidth="1"/>
    <col min="17" max="17" width="13" customWidth="1"/>
    <col min="18" max="18" width="30" customWidth="1"/>
  </cols>
  <sheetData>
    <row r="1" spans="1:18" ht="30" customHeight="1" x14ac:dyDescent="0.25">
      <c r="A1" s="185" t="s">
        <v>581</v>
      </c>
      <c r="B1" s="185"/>
      <c r="C1" s="185"/>
      <c r="D1" s="185"/>
      <c r="E1" s="185"/>
      <c r="F1" s="185"/>
      <c r="G1" s="185"/>
      <c r="H1" s="185"/>
      <c r="I1" s="185"/>
      <c r="J1" s="185"/>
      <c r="K1" s="185"/>
      <c r="L1" s="185"/>
      <c r="M1" s="185"/>
      <c r="N1" s="185"/>
      <c r="O1" s="185"/>
      <c r="P1" s="185"/>
      <c r="Q1" s="185"/>
      <c r="R1" s="185"/>
    </row>
    <row r="2" spans="1:18" ht="3.75" customHeight="1" x14ac:dyDescent="0.25">
      <c r="A2" s="185"/>
      <c r="B2" s="185"/>
      <c r="C2" s="185"/>
      <c r="D2" s="185"/>
      <c r="E2" s="185"/>
      <c r="F2" s="185"/>
      <c r="G2" s="185"/>
      <c r="H2" s="185"/>
      <c r="I2" s="185"/>
      <c r="J2" s="185"/>
      <c r="K2" s="185"/>
      <c r="L2" s="185"/>
      <c r="M2" s="185"/>
      <c r="N2" s="185"/>
      <c r="O2" s="185"/>
      <c r="P2" s="185"/>
      <c r="Q2" s="185"/>
      <c r="R2" s="185"/>
    </row>
    <row r="3" spans="1:18" ht="18" customHeight="1" x14ac:dyDescent="0.25">
      <c r="A3" s="197" t="s">
        <v>582</v>
      </c>
      <c r="B3" s="197"/>
      <c r="C3" s="197"/>
      <c r="D3" s="197"/>
      <c r="E3" s="197"/>
      <c r="F3" s="197"/>
      <c r="G3" s="197"/>
      <c r="H3" s="197"/>
      <c r="I3" s="197"/>
      <c r="J3" s="197"/>
      <c r="K3" s="197"/>
      <c r="L3" s="197"/>
      <c r="M3" s="197"/>
      <c r="N3" s="197"/>
      <c r="O3" s="197"/>
      <c r="P3" s="197"/>
      <c r="Q3" s="197"/>
      <c r="R3" s="197"/>
    </row>
    <row r="4" spans="1:18" ht="15.75" customHeight="1" x14ac:dyDescent="0.25">
      <c r="A4" s="152" t="s">
        <v>583</v>
      </c>
      <c r="B4" s="153" t="s">
        <v>584</v>
      </c>
      <c r="C4" s="154" t="s">
        <v>585</v>
      </c>
      <c r="D4" s="155" t="s">
        <v>586</v>
      </c>
      <c r="F4" s="152" t="s">
        <v>587</v>
      </c>
      <c r="G4" s="156" t="s">
        <v>588</v>
      </c>
      <c r="H4" s="155" t="s">
        <v>589</v>
      </c>
      <c r="I4" s="154" t="s">
        <v>590</v>
      </c>
      <c r="J4" s="153" t="s">
        <v>591</v>
      </c>
      <c r="K4" s="157" t="s">
        <v>592</v>
      </c>
    </row>
    <row r="5" spans="1:18" ht="6" customHeight="1" x14ac:dyDescent="0.25"/>
    <row r="6" spans="1:18" ht="30" customHeight="1" x14ac:dyDescent="0.25">
      <c r="A6" s="47" t="s">
        <v>165</v>
      </c>
      <c r="B6" s="47" t="s">
        <v>486</v>
      </c>
      <c r="C6" s="47" t="s">
        <v>487</v>
      </c>
      <c r="D6" s="47" t="s">
        <v>167</v>
      </c>
      <c r="E6" s="47" t="s">
        <v>593</v>
      </c>
      <c r="F6" s="47" t="s">
        <v>594</v>
      </c>
      <c r="G6" s="47" t="s">
        <v>595</v>
      </c>
      <c r="H6" s="47" t="s">
        <v>596</v>
      </c>
      <c r="I6" s="47" t="s">
        <v>597</v>
      </c>
      <c r="J6" s="47" t="s">
        <v>598</v>
      </c>
      <c r="K6" s="47" t="s">
        <v>599</v>
      </c>
      <c r="L6" s="47" t="s">
        <v>600</v>
      </c>
      <c r="M6" s="47" t="s">
        <v>601</v>
      </c>
      <c r="N6" s="47" t="s">
        <v>602</v>
      </c>
      <c r="O6" s="47" t="s">
        <v>603</v>
      </c>
      <c r="P6" s="47" t="s">
        <v>604</v>
      </c>
      <c r="Q6" s="47" t="s">
        <v>605</v>
      </c>
      <c r="R6" s="47" t="s">
        <v>606</v>
      </c>
    </row>
    <row r="7" spans="1:18" ht="19.5" customHeight="1" x14ac:dyDescent="0.25">
      <c r="A7" s="198" t="s">
        <v>607</v>
      </c>
      <c r="B7" s="198"/>
      <c r="C7" s="198"/>
      <c r="D7" s="198"/>
      <c r="E7" s="198"/>
      <c r="F7" s="198"/>
      <c r="G7" s="198"/>
      <c r="H7" s="198"/>
      <c r="I7" s="198"/>
      <c r="J7" s="198"/>
      <c r="K7" s="198"/>
      <c r="L7" s="198"/>
      <c r="M7" s="198"/>
      <c r="N7" s="198"/>
      <c r="O7" s="198"/>
      <c r="P7" s="198"/>
      <c r="Q7" s="198"/>
      <c r="R7" s="198"/>
    </row>
    <row r="8" spans="1:18" ht="21.75" customHeight="1" x14ac:dyDescent="0.25">
      <c r="A8" s="63" t="s">
        <v>608</v>
      </c>
      <c r="B8" s="63" t="s">
        <v>513</v>
      </c>
      <c r="C8" s="63" t="s">
        <v>514</v>
      </c>
      <c r="D8" s="66" t="s">
        <v>237</v>
      </c>
      <c r="E8" s="19" t="s">
        <v>94</v>
      </c>
      <c r="F8" s="20"/>
      <c r="G8" s="20"/>
      <c r="H8" s="20" t="s">
        <v>609</v>
      </c>
      <c r="I8" s="20"/>
      <c r="J8" s="20" t="s">
        <v>237</v>
      </c>
      <c r="K8" s="20" t="s">
        <v>610</v>
      </c>
      <c r="L8" s="158"/>
      <c r="M8" s="20"/>
      <c r="N8" s="159"/>
      <c r="O8" s="20" t="s">
        <v>94</v>
      </c>
      <c r="P8" s="78" t="s">
        <v>505</v>
      </c>
      <c r="Q8" s="78" t="s">
        <v>505</v>
      </c>
      <c r="R8" s="20"/>
    </row>
    <row r="9" spans="1:18" ht="21.75" customHeight="1" x14ac:dyDescent="0.25">
      <c r="A9" s="65" t="s">
        <v>608</v>
      </c>
      <c r="B9" s="65" t="s">
        <v>513</v>
      </c>
      <c r="C9" s="65" t="s">
        <v>514</v>
      </c>
      <c r="D9" s="66" t="s">
        <v>237</v>
      </c>
      <c r="E9" s="22" t="s">
        <v>611</v>
      </c>
      <c r="F9" s="23"/>
      <c r="G9" s="23"/>
      <c r="H9" s="23" t="s">
        <v>609</v>
      </c>
      <c r="I9" s="23"/>
      <c r="J9" s="23" t="s">
        <v>237</v>
      </c>
      <c r="K9" s="23" t="s">
        <v>610</v>
      </c>
      <c r="L9" s="158"/>
      <c r="M9" s="23"/>
      <c r="N9" s="159"/>
      <c r="O9" s="23" t="s">
        <v>611</v>
      </c>
      <c r="P9" s="78" t="s">
        <v>505</v>
      </c>
      <c r="Q9" s="78" t="s">
        <v>505</v>
      </c>
      <c r="R9" s="23"/>
    </row>
    <row r="10" spans="1:18" ht="21.75" customHeight="1" x14ac:dyDescent="0.25">
      <c r="A10" s="63" t="s">
        <v>608</v>
      </c>
      <c r="B10" s="63" t="s">
        <v>513</v>
      </c>
      <c r="C10" s="63" t="s">
        <v>514</v>
      </c>
      <c r="D10" s="66" t="s">
        <v>237</v>
      </c>
      <c r="E10" s="19" t="s">
        <v>612</v>
      </c>
      <c r="F10" s="20"/>
      <c r="G10" s="20"/>
      <c r="H10" s="20" t="s">
        <v>609</v>
      </c>
      <c r="I10" s="20"/>
      <c r="J10" s="20" t="s">
        <v>237</v>
      </c>
      <c r="K10" s="20" t="s">
        <v>610</v>
      </c>
      <c r="L10" s="158"/>
      <c r="M10" s="20"/>
      <c r="N10" s="159"/>
      <c r="O10" s="20" t="s">
        <v>612</v>
      </c>
      <c r="P10" s="78" t="s">
        <v>505</v>
      </c>
      <c r="Q10" s="78" t="s">
        <v>505</v>
      </c>
      <c r="R10" s="20"/>
    </row>
    <row r="11" spans="1:18" ht="21.75" customHeight="1" x14ac:dyDescent="0.25">
      <c r="A11" s="65" t="s">
        <v>608</v>
      </c>
      <c r="B11" s="65" t="s">
        <v>513</v>
      </c>
      <c r="C11" s="65" t="s">
        <v>514</v>
      </c>
      <c r="D11" s="66" t="s">
        <v>237</v>
      </c>
      <c r="E11" s="22" t="s">
        <v>103</v>
      </c>
      <c r="F11" s="23"/>
      <c r="G11" s="23"/>
      <c r="H11" s="23" t="s">
        <v>609</v>
      </c>
      <c r="I11" s="23"/>
      <c r="J11" s="23" t="s">
        <v>237</v>
      </c>
      <c r="K11" s="23" t="s">
        <v>610</v>
      </c>
      <c r="L11" s="158"/>
      <c r="M11" s="23"/>
      <c r="N11" s="159"/>
      <c r="O11" s="23" t="s">
        <v>103</v>
      </c>
      <c r="P11" s="78" t="s">
        <v>505</v>
      </c>
      <c r="Q11" s="78" t="s">
        <v>505</v>
      </c>
      <c r="R11" s="23"/>
    </row>
    <row r="12" spans="1:18" ht="21.75" customHeight="1" x14ac:dyDescent="0.25">
      <c r="A12" s="63" t="s">
        <v>608</v>
      </c>
      <c r="B12" s="63" t="s">
        <v>513</v>
      </c>
      <c r="C12" s="63" t="s">
        <v>514</v>
      </c>
      <c r="D12" s="66" t="s">
        <v>237</v>
      </c>
      <c r="E12" s="19" t="s">
        <v>97</v>
      </c>
      <c r="F12" s="20"/>
      <c r="G12" s="20"/>
      <c r="H12" s="20" t="s">
        <v>609</v>
      </c>
      <c r="I12" s="20"/>
      <c r="J12" s="20" t="s">
        <v>237</v>
      </c>
      <c r="K12" s="20" t="s">
        <v>610</v>
      </c>
      <c r="L12" s="158"/>
      <c r="M12" s="20"/>
      <c r="N12" s="159"/>
      <c r="O12" s="20" t="s">
        <v>97</v>
      </c>
      <c r="P12" s="78" t="s">
        <v>505</v>
      </c>
      <c r="Q12" s="78" t="s">
        <v>505</v>
      </c>
      <c r="R12" s="20"/>
    </row>
    <row r="13" spans="1:18" ht="21.75" customHeight="1" x14ac:dyDescent="0.25">
      <c r="A13" s="65" t="s">
        <v>608</v>
      </c>
      <c r="B13" s="65" t="s">
        <v>513</v>
      </c>
      <c r="C13" s="65" t="s">
        <v>514</v>
      </c>
      <c r="D13" s="66" t="s">
        <v>237</v>
      </c>
      <c r="E13" s="22" t="s">
        <v>613</v>
      </c>
      <c r="F13" s="23"/>
      <c r="G13" s="23"/>
      <c r="H13" s="23" t="s">
        <v>609</v>
      </c>
      <c r="I13" s="23"/>
      <c r="J13" s="23" t="s">
        <v>237</v>
      </c>
      <c r="K13" s="23" t="s">
        <v>610</v>
      </c>
      <c r="L13" s="158"/>
      <c r="M13" s="23"/>
      <c r="N13" s="159"/>
      <c r="O13" s="23" t="s">
        <v>613</v>
      </c>
      <c r="P13" s="78" t="s">
        <v>505</v>
      </c>
      <c r="Q13" s="78" t="s">
        <v>505</v>
      </c>
      <c r="R13" s="23"/>
    </row>
    <row r="14" spans="1:18" ht="21.75" customHeight="1" x14ac:dyDescent="0.25">
      <c r="A14" s="199" t="s">
        <v>614</v>
      </c>
      <c r="B14" s="199"/>
      <c r="C14" s="199"/>
      <c r="D14" s="199"/>
      <c r="E14" s="199"/>
      <c r="F14" s="18"/>
      <c r="G14" s="18"/>
      <c r="H14" s="18"/>
      <c r="I14" s="18"/>
      <c r="J14" s="18"/>
      <c r="K14" s="18"/>
      <c r="L14" s="18"/>
      <c r="M14" s="18"/>
      <c r="N14" s="18"/>
      <c r="O14" s="18"/>
      <c r="P14" s="18"/>
      <c r="Q14" s="18"/>
      <c r="R14" s="18"/>
    </row>
    <row r="15" spans="1:18" ht="7.5" customHeight="1" x14ac:dyDescent="0.25"/>
    <row r="16" spans="1:18" ht="19.5" customHeight="1" x14ac:dyDescent="0.25">
      <c r="A16" s="198" t="s">
        <v>615</v>
      </c>
      <c r="B16" s="198"/>
      <c r="C16" s="198"/>
      <c r="D16" s="198"/>
      <c r="E16" s="198"/>
      <c r="F16" s="198"/>
      <c r="G16" s="198"/>
      <c r="H16" s="198"/>
      <c r="I16" s="198"/>
      <c r="J16" s="198"/>
      <c r="K16" s="198"/>
      <c r="L16" s="198"/>
      <c r="M16" s="198"/>
      <c r="N16" s="198"/>
      <c r="O16" s="198"/>
      <c r="P16" s="198"/>
      <c r="Q16" s="198"/>
      <c r="R16" s="198"/>
    </row>
    <row r="17" spans="1:18" ht="21.75" customHeight="1" x14ac:dyDescent="0.25">
      <c r="A17" s="65" t="s">
        <v>277</v>
      </c>
      <c r="B17" s="65" t="s">
        <v>521</v>
      </c>
      <c r="C17" s="65" t="s">
        <v>522</v>
      </c>
      <c r="D17" s="72" t="s">
        <v>253</v>
      </c>
      <c r="E17" s="22" t="s">
        <v>88</v>
      </c>
      <c r="F17" s="23"/>
      <c r="G17" s="23"/>
      <c r="H17" s="23" t="s">
        <v>616</v>
      </c>
      <c r="I17" s="23"/>
      <c r="J17" s="23" t="s">
        <v>253</v>
      </c>
      <c r="K17" s="23" t="s">
        <v>610</v>
      </c>
      <c r="L17" s="158"/>
      <c r="M17" s="23"/>
      <c r="N17" s="159"/>
      <c r="O17" s="23" t="s">
        <v>88</v>
      </c>
      <c r="P17" s="78" t="s">
        <v>505</v>
      </c>
      <c r="Q17" s="78" t="s">
        <v>505</v>
      </c>
      <c r="R17" s="23"/>
    </row>
    <row r="18" spans="1:18" ht="21.75" customHeight="1" x14ac:dyDescent="0.25">
      <c r="A18" s="63" t="s">
        <v>277</v>
      </c>
      <c r="B18" s="63" t="s">
        <v>521</v>
      </c>
      <c r="C18" s="63" t="s">
        <v>522</v>
      </c>
      <c r="D18" s="72" t="s">
        <v>253</v>
      </c>
      <c r="E18" s="19" t="s">
        <v>85</v>
      </c>
      <c r="F18" s="20"/>
      <c r="G18" s="20"/>
      <c r="H18" s="20" t="s">
        <v>616</v>
      </c>
      <c r="I18" s="20"/>
      <c r="J18" s="20" t="s">
        <v>253</v>
      </c>
      <c r="K18" s="20" t="s">
        <v>610</v>
      </c>
      <c r="L18" s="158"/>
      <c r="M18" s="20"/>
      <c r="N18" s="159"/>
      <c r="O18" s="20" t="s">
        <v>85</v>
      </c>
      <c r="P18" s="78" t="s">
        <v>505</v>
      </c>
      <c r="Q18" s="78" t="s">
        <v>505</v>
      </c>
      <c r="R18" s="20"/>
    </row>
    <row r="19" spans="1:18" ht="21.75" customHeight="1" x14ac:dyDescent="0.25">
      <c r="A19" s="65" t="s">
        <v>277</v>
      </c>
      <c r="B19" s="65" t="s">
        <v>521</v>
      </c>
      <c r="C19" s="65" t="s">
        <v>522</v>
      </c>
      <c r="D19" s="72" t="s">
        <v>253</v>
      </c>
      <c r="E19" s="22" t="s">
        <v>106</v>
      </c>
      <c r="F19" s="23"/>
      <c r="G19" s="23"/>
      <c r="H19" s="23" t="s">
        <v>616</v>
      </c>
      <c r="I19" s="23"/>
      <c r="J19" s="23" t="s">
        <v>253</v>
      </c>
      <c r="K19" s="23" t="s">
        <v>610</v>
      </c>
      <c r="L19" s="158"/>
      <c r="M19" s="23"/>
      <c r="N19" s="159"/>
      <c r="O19" s="23" t="s">
        <v>106</v>
      </c>
      <c r="P19" s="78" t="s">
        <v>505</v>
      </c>
      <c r="Q19" s="78" t="s">
        <v>505</v>
      </c>
      <c r="R19" s="23"/>
    </row>
    <row r="20" spans="1:18" ht="21.75" customHeight="1" x14ac:dyDescent="0.25">
      <c r="A20" s="63" t="s">
        <v>277</v>
      </c>
      <c r="B20" s="63" t="s">
        <v>521</v>
      </c>
      <c r="C20" s="63" t="s">
        <v>522</v>
      </c>
      <c r="D20" s="72" t="s">
        <v>253</v>
      </c>
      <c r="E20" s="19" t="s">
        <v>79</v>
      </c>
      <c r="F20" s="20"/>
      <c r="G20" s="20"/>
      <c r="H20" s="20" t="s">
        <v>616</v>
      </c>
      <c r="I20" s="20"/>
      <c r="J20" s="20" t="s">
        <v>253</v>
      </c>
      <c r="K20" s="20" t="s">
        <v>610</v>
      </c>
      <c r="L20" s="158"/>
      <c r="M20" s="20"/>
      <c r="N20" s="159"/>
      <c r="O20" s="20" t="s">
        <v>79</v>
      </c>
      <c r="P20" s="78" t="s">
        <v>505</v>
      </c>
      <c r="Q20" s="78" t="s">
        <v>505</v>
      </c>
      <c r="R20" s="20"/>
    </row>
    <row r="21" spans="1:18" ht="21.75" customHeight="1" x14ac:dyDescent="0.25">
      <c r="A21" s="200" t="s">
        <v>614</v>
      </c>
      <c r="B21" s="200"/>
      <c r="C21" s="200"/>
      <c r="D21" s="200"/>
      <c r="E21" s="200"/>
      <c r="F21" s="21"/>
      <c r="G21" s="21"/>
      <c r="H21" s="21"/>
      <c r="I21" s="21"/>
      <c r="J21" s="21"/>
      <c r="K21" s="21"/>
      <c r="L21" s="21"/>
      <c r="M21" s="21"/>
      <c r="N21" s="21"/>
      <c r="O21" s="21"/>
      <c r="P21" s="21"/>
      <c r="Q21" s="21"/>
      <c r="R21" s="21"/>
    </row>
    <row r="22" spans="1:18" ht="7.5" customHeight="1" x14ac:dyDescent="0.25"/>
    <row r="23" spans="1:18" ht="19.5" customHeight="1" x14ac:dyDescent="0.25">
      <c r="A23" s="198" t="s">
        <v>617</v>
      </c>
      <c r="B23" s="198"/>
      <c r="C23" s="198"/>
      <c r="D23" s="198"/>
      <c r="E23" s="198"/>
      <c r="F23" s="198"/>
      <c r="G23" s="198"/>
      <c r="H23" s="198"/>
      <c r="I23" s="198"/>
      <c r="J23" s="198"/>
      <c r="K23" s="198"/>
      <c r="L23" s="198"/>
      <c r="M23" s="198"/>
      <c r="N23" s="198"/>
      <c r="O23" s="198"/>
      <c r="P23" s="198"/>
      <c r="Q23" s="198"/>
      <c r="R23" s="198"/>
    </row>
    <row r="24" spans="1:18" ht="21.75" customHeight="1" x14ac:dyDescent="0.25">
      <c r="A24" s="63" t="s">
        <v>306</v>
      </c>
      <c r="B24" s="63" t="s">
        <v>527</v>
      </c>
      <c r="C24" s="63" t="s">
        <v>528</v>
      </c>
      <c r="D24" s="78" t="s">
        <v>297</v>
      </c>
      <c r="E24" s="19" t="s">
        <v>100</v>
      </c>
      <c r="F24" s="20"/>
      <c r="G24" s="20"/>
      <c r="H24" s="20" t="s">
        <v>618</v>
      </c>
      <c r="I24" s="20"/>
      <c r="J24" s="20" t="s">
        <v>297</v>
      </c>
      <c r="K24" s="20" t="s">
        <v>610</v>
      </c>
      <c r="L24" s="158"/>
      <c r="M24" s="20"/>
      <c r="N24" s="159"/>
      <c r="O24" s="20" t="s">
        <v>100</v>
      </c>
      <c r="P24" s="78" t="s">
        <v>505</v>
      </c>
      <c r="Q24" s="78" t="s">
        <v>505</v>
      </c>
      <c r="R24" s="20"/>
    </row>
    <row r="25" spans="1:18" ht="21.75" customHeight="1" x14ac:dyDescent="0.25">
      <c r="A25" s="65" t="s">
        <v>306</v>
      </c>
      <c r="B25" s="65" t="s">
        <v>527</v>
      </c>
      <c r="C25" s="65" t="s">
        <v>528</v>
      </c>
      <c r="D25" s="78" t="s">
        <v>297</v>
      </c>
      <c r="E25" s="22" t="s">
        <v>79</v>
      </c>
      <c r="F25" s="23"/>
      <c r="G25" s="23"/>
      <c r="H25" s="23" t="s">
        <v>618</v>
      </c>
      <c r="I25" s="23"/>
      <c r="J25" s="23" t="s">
        <v>297</v>
      </c>
      <c r="K25" s="23" t="s">
        <v>610</v>
      </c>
      <c r="L25" s="158"/>
      <c r="M25" s="23"/>
      <c r="N25" s="159"/>
      <c r="O25" s="23" t="s">
        <v>79</v>
      </c>
      <c r="P25" s="78" t="s">
        <v>505</v>
      </c>
      <c r="Q25" s="78" t="s">
        <v>505</v>
      </c>
      <c r="R25" s="23"/>
    </row>
    <row r="26" spans="1:18" ht="21.75" customHeight="1" x14ac:dyDescent="0.25">
      <c r="A26" s="199" t="s">
        <v>614</v>
      </c>
      <c r="B26" s="199"/>
      <c r="C26" s="199"/>
      <c r="D26" s="199"/>
      <c r="E26" s="199"/>
      <c r="F26" s="18"/>
      <c r="G26" s="18"/>
      <c r="H26" s="18"/>
      <c r="I26" s="18"/>
      <c r="J26" s="18"/>
      <c r="K26" s="18"/>
      <c r="L26" s="18"/>
      <c r="M26" s="18"/>
      <c r="N26" s="18"/>
      <c r="O26" s="18"/>
      <c r="P26" s="18"/>
      <c r="Q26" s="18"/>
      <c r="R26" s="18"/>
    </row>
    <row r="27" spans="1:18" ht="7.5" customHeight="1" x14ac:dyDescent="0.25"/>
    <row r="28" spans="1:18" ht="19.5" customHeight="1" x14ac:dyDescent="0.25">
      <c r="A28" s="198" t="s">
        <v>619</v>
      </c>
      <c r="B28" s="198"/>
      <c r="C28" s="198"/>
      <c r="D28" s="198"/>
      <c r="E28" s="198"/>
      <c r="F28" s="198"/>
      <c r="G28" s="198"/>
      <c r="H28" s="198"/>
      <c r="I28" s="198"/>
      <c r="J28" s="198"/>
      <c r="K28" s="198"/>
      <c r="L28" s="198"/>
      <c r="M28" s="198"/>
      <c r="N28" s="198"/>
      <c r="O28" s="198"/>
      <c r="P28" s="198"/>
      <c r="Q28" s="198"/>
      <c r="R28" s="198"/>
    </row>
    <row r="29" spans="1:18" ht="21.75" customHeight="1" x14ac:dyDescent="0.25">
      <c r="A29" s="65" t="s">
        <v>318</v>
      </c>
      <c r="B29" s="65" t="s">
        <v>530</v>
      </c>
      <c r="C29" s="65" t="s">
        <v>531</v>
      </c>
      <c r="D29" s="160" t="s">
        <v>214</v>
      </c>
      <c r="E29" s="22" t="s">
        <v>91</v>
      </c>
      <c r="F29" s="23"/>
      <c r="G29" s="23"/>
      <c r="H29" s="23" t="s">
        <v>620</v>
      </c>
      <c r="I29" s="23"/>
      <c r="J29" s="23" t="s">
        <v>214</v>
      </c>
      <c r="K29" s="23" t="s">
        <v>610</v>
      </c>
      <c r="L29" s="158"/>
      <c r="M29" s="23"/>
      <c r="N29" s="159"/>
      <c r="O29" s="23" t="s">
        <v>91</v>
      </c>
      <c r="P29" s="78" t="s">
        <v>505</v>
      </c>
      <c r="Q29" s="78" t="s">
        <v>505</v>
      </c>
      <c r="R29" s="23"/>
    </row>
    <row r="30" spans="1:18" ht="21.75" customHeight="1" x14ac:dyDescent="0.25">
      <c r="A30" s="63" t="s">
        <v>318</v>
      </c>
      <c r="B30" s="63" t="s">
        <v>530</v>
      </c>
      <c r="C30" s="63" t="s">
        <v>531</v>
      </c>
      <c r="D30" s="160" t="s">
        <v>214</v>
      </c>
      <c r="E30" s="19" t="s">
        <v>94</v>
      </c>
      <c r="F30" s="20"/>
      <c r="G30" s="20"/>
      <c r="H30" s="20" t="s">
        <v>620</v>
      </c>
      <c r="I30" s="20"/>
      <c r="J30" s="20" t="s">
        <v>214</v>
      </c>
      <c r="K30" s="20" t="s">
        <v>610</v>
      </c>
      <c r="L30" s="158"/>
      <c r="M30" s="20"/>
      <c r="N30" s="159"/>
      <c r="O30" s="20" t="s">
        <v>94</v>
      </c>
      <c r="P30" s="78" t="s">
        <v>505</v>
      </c>
      <c r="Q30" s="78" t="s">
        <v>505</v>
      </c>
      <c r="R30" s="20"/>
    </row>
    <row r="31" spans="1:18" ht="21.75" customHeight="1" x14ac:dyDescent="0.25">
      <c r="A31" s="200" t="s">
        <v>614</v>
      </c>
      <c r="B31" s="200"/>
      <c r="C31" s="200"/>
      <c r="D31" s="200"/>
      <c r="E31" s="200"/>
      <c r="F31" s="21"/>
      <c r="G31" s="21"/>
      <c r="H31" s="21"/>
      <c r="I31" s="21"/>
      <c r="J31" s="21"/>
      <c r="K31" s="21"/>
      <c r="L31" s="21"/>
      <c r="M31" s="21"/>
      <c r="N31" s="21"/>
      <c r="O31" s="21"/>
      <c r="P31" s="21"/>
      <c r="Q31" s="21"/>
      <c r="R31" s="21"/>
    </row>
    <row r="32" spans="1:18" ht="7.5" customHeight="1" x14ac:dyDescent="0.25"/>
    <row r="33" spans="1:18" ht="19.5" customHeight="1" x14ac:dyDescent="0.25">
      <c r="A33" s="198" t="s">
        <v>621</v>
      </c>
      <c r="B33" s="198"/>
      <c r="C33" s="198"/>
      <c r="D33" s="198"/>
      <c r="E33" s="198"/>
      <c r="F33" s="198"/>
      <c r="G33" s="198"/>
      <c r="H33" s="198"/>
      <c r="I33" s="198"/>
      <c r="J33" s="198"/>
      <c r="K33" s="198"/>
      <c r="L33" s="198"/>
      <c r="M33" s="198"/>
      <c r="N33" s="198"/>
      <c r="O33" s="198"/>
      <c r="P33" s="198"/>
      <c r="Q33" s="198"/>
      <c r="R33" s="198"/>
    </row>
    <row r="34" spans="1:18" ht="21.75" customHeight="1" x14ac:dyDescent="0.25">
      <c r="A34" s="63" t="s">
        <v>349</v>
      </c>
      <c r="B34" s="63" t="s">
        <v>539</v>
      </c>
      <c r="C34" s="63" t="s">
        <v>540</v>
      </c>
      <c r="D34" s="160" t="s">
        <v>214</v>
      </c>
      <c r="E34" s="19" t="s">
        <v>611</v>
      </c>
      <c r="F34" s="20"/>
      <c r="G34" s="20"/>
      <c r="H34" s="20" t="s">
        <v>622</v>
      </c>
      <c r="I34" s="20"/>
      <c r="J34" s="20" t="s">
        <v>214</v>
      </c>
      <c r="K34" s="20" t="s">
        <v>610</v>
      </c>
      <c r="L34" s="158"/>
      <c r="M34" s="20"/>
      <c r="N34" s="159"/>
      <c r="O34" s="20" t="s">
        <v>611</v>
      </c>
      <c r="P34" s="78" t="s">
        <v>505</v>
      </c>
      <c r="Q34" s="78" t="s">
        <v>505</v>
      </c>
      <c r="R34" s="20"/>
    </row>
    <row r="35" spans="1:18" ht="21.75" customHeight="1" x14ac:dyDescent="0.25">
      <c r="A35" s="65" t="s">
        <v>349</v>
      </c>
      <c r="B35" s="65" t="s">
        <v>539</v>
      </c>
      <c r="C35" s="65" t="s">
        <v>540</v>
      </c>
      <c r="D35" s="160" t="s">
        <v>214</v>
      </c>
      <c r="E35" s="22" t="s">
        <v>623</v>
      </c>
      <c r="F35" s="23"/>
      <c r="G35" s="23"/>
      <c r="H35" s="23" t="s">
        <v>622</v>
      </c>
      <c r="I35" s="23"/>
      <c r="J35" s="23" t="s">
        <v>214</v>
      </c>
      <c r="K35" s="23" t="s">
        <v>610</v>
      </c>
      <c r="L35" s="158"/>
      <c r="M35" s="23"/>
      <c r="N35" s="159"/>
      <c r="O35" s="23" t="s">
        <v>623</v>
      </c>
      <c r="P35" s="78" t="s">
        <v>505</v>
      </c>
      <c r="Q35" s="78" t="s">
        <v>505</v>
      </c>
      <c r="R35" s="23"/>
    </row>
    <row r="36" spans="1:18" ht="21.75" customHeight="1" x14ac:dyDescent="0.25">
      <c r="A36" s="199" t="s">
        <v>614</v>
      </c>
      <c r="B36" s="199"/>
      <c r="C36" s="199"/>
      <c r="D36" s="199"/>
      <c r="E36" s="199"/>
      <c r="F36" s="18"/>
      <c r="G36" s="18"/>
      <c r="H36" s="18"/>
      <c r="I36" s="18"/>
      <c r="J36" s="18"/>
      <c r="K36" s="18"/>
      <c r="L36" s="18"/>
      <c r="M36" s="18"/>
      <c r="N36" s="18"/>
      <c r="O36" s="18"/>
      <c r="P36" s="18"/>
      <c r="Q36" s="18"/>
      <c r="R36" s="18"/>
    </row>
    <row r="37" spans="1:18" ht="7.5" customHeight="1" x14ac:dyDescent="0.25"/>
    <row r="38" spans="1:18" ht="19.5" customHeight="1" x14ac:dyDescent="0.25">
      <c r="A38" s="201" t="s">
        <v>624</v>
      </c>
      <c r="B38" s="201"/>
      <c r="C38" s="201"/>
      <c r="D38" s="201"/>
      <c r="E38" s="201"/>
      <c r="F38" s="201"/>
      <c r="G38" s="201"/>
      <c r="H38" s="201"/>
      <c r="I38" s="201"/>
      <c r="J38" s="201"/>
      <c r="K38" s="201"/>
      <c r="L38" s="201"/>
      <c r="M38" s="201"/>
      <c r="N38" s="201"/>
      <c r="O38" s="201"/>
      <c r="P38" s="201"/>
      <c r="Q38" s="201"/>
      <c r="R38" s="201"/>
    </row>
    <row r="39" spans="1:18" ht="21.75" customHeight="1" x14ac:dyDescent="0.25">
      <c r="A39" s="65" t="s">
        <v>329</v>
      </c>
      <c r="B39" s="65" t="s">
        <v>534</v>
      </c>
      <c r="C39" s="65" t="s">
        <v>535</v>
      </c>
      <c r="D39" s="66" t="s">
        <v>237</v>
      </c>
      <c r="E39" s="22" t="s">
        <v>625</v>
      </c>
      <c r="F39" s="23"/>
      <c r="G39" s="23"/>
      <c r="H39" s="23" t="s">
        <v>626</v>
      </c>
      <c r="I39" s="23"/>
      <c r="J39" s="23" t="s">
        <v>237</v>
      </c>
      <c r="K39" s="23" t="s">
        <v>610</v>
      </c>
      <c r="L39" s="158"/>
      <c r="M39" s="23"/>
      <c r="N39" s="159"/>
      <c r="O39" s="23" t="s">
        <v>625</v>
      </c>
      <c r="P39" s="78" t="s">
        <v>505</v>
      </c>
      <c r="Q39" s="78" t="s">
        <v>505</v>
      </c>
      <c r="R39" s="23"/>
    </row>
    <row r="40" spans="1:18" ht="21.75" customHeight="1" x14ac:dyDescent="0.25">
      <c r="A40" s="63" t="s">
        <v>329</v>
      </c>
      <c r="B40" s="63" t="s">
        <v>534</v>
      </c>
      <c r="C40" s="63" t="s">
        <v>535</v>
      </c>
      <c r="D40" s="66" t="s">
        <v>237</v>
      </c>
      <c r="E40" s="19" t="s">
        <v>627</v>
      </c>
      <c r="F40" s="20"/>
      <c r="G40" s="20"/>
      <c r="H40" s="20" t="s">
        <v>626</v>
      </c>
      <c r="I40" s="20"/>
      <c r="J40" s="20" t="s">
        <v>237</v>
      </c>
      <c r="K40" s="20" t="s">
        <v>610</v>
      </c>
      <c r="L40" s="158"/>
      <c r="M40" s="20"/>
      <c r="N40" s="159"/>
      <c r="O40" s="20" t="s">
        <v>627</v>
      </c>
      <c r="P40" s="78" t="s">
        <v>505</v>
      </c>
      <c r="Q40" s="78" t="s">
        <v>505</v>
      </c>
      <c r="R40" s="20"/>
    </row>
    <row r="41" spans="1:18" ht="21.75" customHeight="1" x14ac:dyDescent="0.25">
      <c r="A41" s="65" t="s">
        <v>329</v>
      </c>
      <c r="B41" s="65" t="s">
        <v>534</v>
      </c>
      <c r="C41" s="65" t="s">
        <v>535</v>
      </c>
      <c r="D41" s="66" t="s">
        <v>237</v>
      </c>
      <c r="E41" s="22" t="s">
        <v>628</v>
      </c>
      <c r="F41" s="23"/>
      <c r="G41" s="23"/>
      <c r="H41" s="23" t="s">
        <v>626</v>
      </c>
      <c r="I41" s="23"/>
      <c r="J41" s="23" t="s">
        <v>237</v>
      </c>
      <c r="K41" s="23" t="s">
        <v>610</v>
      </c>
      <c r="L41" s="158"/>
      <c r="M41" s="23"/>
      <c r="N41" s="159"/>
      <c r="O41" s="23" t="s">
        <v>628</v>
      </c>
      <c r="P41" s="78" t="s">
        <v>505</v>
      </c>
      <c r="Q41" s="78" t="s">
        <v>505</v>
      </c>
      <c r="R41" s="23"/>
    </row>
    <row r="42" spans="1:18" ht="21.75" customHeight="1" x14ac:dyDescent="0.25">
      <c r="A42" s="63" t="s">
        <v>329</v>
      </c>
      <c r="B42" s="63" t="s">
        <v>534</v>
      </c>
      <c r="C42" s="63" t="s">
        <v>535</v>
      </c>
      <c r="D42" s="66" t="s">
        <v>237</v>
      </c>
      <c r="E42" s="19" t="s">
        <v>629</v>
      </c>
      <c r="F42" s="20"/>
      <c r="G42" s="20"/>
      <c r="H42" s="20" t="s">
        <v>626</v>
      </c>
      <c r="I42" s="20"/>
      <c r="J42" s="20" t="s">
        <v>237</v>
      </c>
      <c r="K42" s="20" t="s">
        <v>610</v>
      </c>
      <c r="L42" s="158"/>
      <c r="M42" s="20"/>
      <c r="N42" s="159"/>
      <c r="O42" s="20" t="s">
        <v>629</v>
      </c>
      <c r="P42" s="78" t="s">
        <v>505</v>
      </c>
      <c r="Q42" s="78" t="s">
        <v>505</v>
      </c>
      <c r="R42" s="20"/>
    </row>
    <row r="43" spans="1:18" ht="21.75" customHeight="1" x14ac:dyDescent="0.25">
      <c r="A43" s="65" t="s">
        <v>329</v>
      </c>
      <c r="B43" s="65" t="s">
        <v>534</v>
      </c>
      <c r="C43" s="65" t="s">
        <v>535</v>
      </c>
      <c r="D43" s="66" t="s">
        <v>237</v>
      </c>
      <c r="E43" s="22" t="s">
        <v>630</v>
      </c>
      <c r="F43" s="23"/>
      <c r="G43" s="23"/>
      <c r="H43" s="23" t="s">
        <v>626</v>
      </c>
      <c r="I43" s="23"/>
      <c r="J43" s="23" t="s">
        <v>237</v>
      </c>
      <c r="K43" s="23" t="s">
        <v>610</v>
      </c>
      <c r="L43" s="158"/>
      <c r="M43" s="23"/>
      <c r="N43" s="159"/>
      <c r="O43" s="23" t="s">
        <v>630</v>
      </c>
      <c r="P43" s="78" t="s">
        <v>505</v>
      </c>
      <c r="Q43" s="78" t="s">
        <v>505</v>
      </c>
      <c r="R43" s="23"/>
    </row>
    <row r="44" spans="1:18" ht="21.75" customHeight="1" x14ac:dyDescent="0.25">
      <c r="A44" s="199" t="s">
        <v>614</v>
      </c>
      <c r="B44" s="199"/>
      <c r="C44" s="199"/>
      <c r="D44" s="199"/>
      <c r="E44" s="199"/>
      <c r="F44" s="18"/>
      <c r="G44" s="18"/>
      <c r="H44" s="18"/>
      <c r="I44" s="18"/>
      <c r="J44" s="18"/>
      <c r="K44" s="18"/>
      <c r="L44" s="18"/>
      <c r="M44" s="18"/>
      <c r="N44" s="18"/>
      <c r="O44" s="18"/>
      <c r="P44" s="18"/>
      <c r="Q44" s="18"/>
      <c r="R44" s="18"/>
    </row>
    <row r="45" spans="1:18" ht="7.5" customHeight="1" x14ac:dyDescent="0.25"/>
    <row r="46" spans="1:18" ht="19.5" customHeight="1" x14ac:dyDescent="0.25">
      <c r="A46" s="198" t="s">
        <v>631</v>
      </c>
      <c r="B46" s="198"/>
      <c r="C46" s="198"/>
      <c r="D46" s="198"/>
      <c r="E46" s="198"/>
      <c r="F46" s="198"/>
      <c r="G46" s="198"/>
      <c r="H46" s="198"/>
      <c r="I46" s="198"/>
      <c r="J46" s="198"/>
      <c r="K46" s="198"/>
      <c r="L46" s="198"/>
      <c r="M46" s="198"/>
      <c r="N46" s="198"/>
      <c r="O46" s="198"/>
      <c r="P46" s="198"/>
      <c r="Q46" s="198"/>
      <c r="R46" s="198"/>
    </row>
    <row r="47" spans="1:18" ht="21.75" customHeight="1" x14ac:dyDescent="0.25">
      <c r="A47" s="65" t="s">
        <v>360</v>
      </c>
      <c r="B47" s="65" t="s">
        <v>543</v>
      </c>
      <c r="C47" s="65" t="s">
        <v>544</v>
      </c>
      <c r="D47" s="50" t="s">
        <v>183</v>
      </c>
      <c r="E47" s="22" t="s">
        <v>611</v>
      </c>
      <c r="F47" s="23"/>
      <c r="G47" s="23"/>
      <c r="H47" s="23" t="s">
        <v>632</v>
      </c>
      <c r="I47" s="23"/>
      <c r="J47" s="23" t="s">
        <v>183</v>
      </c>
      <c r="K47" s="23" t="s">
        <v>610</v>
      </c>
      <c r="L47" s="158"/>
      <c r="M47" s="23"/>
      <c r="N47" s="159"/>
      <c r="O47" s="23" t="s">
        <v>611</v>
      </c>
      <c r="P47" s="78" t="s">
        <v>505</v>
      </c>
      <c r="Q47" s="78" t="s">
        <v>505</v>
      </c>
      <c r="R47" s="23"/>
    </row>
    <row r="48" spans="1:18" ht="21.75" customHeight="1" x14ac:dyDescent="0.25">
      <c r="A48" s="63" t="s">
        <v>360</v>
      </c>
      <c r="B48" s="63" t="s">
        <v>543</v>
      </c>
      <c r="C48" s="63" t="s">
        <v>544</v>
      </c>
      <c r="D48" s="50" t="s">
        <v>183</v>
      </c>
      <c r="E48" s="19" t="s">
        <v>612</v>
      </c>
      <c r="F48" s="20"/>
      <c r="G48" s="20"/>
      <c r="H48" s="20" t="s">
        <v>632</v>
      </c>
      <c r="I48" s="20"/>
      <c r="J48" s="20" t="s">
        <v>183</v>
      </c>
      <c r="K48" s="20" t="s">
        <v>610</v>
      </c>
      <c r="L48" s="158"/>
      <c r="M48" s="20"/>
      <c r="N48" s="159"/>
      <c r="O48" s="20" t="s">
        <v>612</v>
      </c>
      <c r="P48" s="78" t="s">
        <v>505</v>
      </c>
      <c r="Q48" s="78" t="s">
        <v>505</v>
      </c>
      <c r="R48" s="20"/>
    </row>
    <row r="49" spans="1:18" ht="21.75" customHeight="1" x14ac:dyDescent="0.25">
      <c r="A49" s="65" t="s">
        <v>360</v>
      </c>
      <c r="B49" s="65" t="s">
        <v>543</v>
      </c>
      <c r="C49" s="65" t="s">
        <v>544</v>
      </c>
      <c r="D49" s="50" t="s">
        <v>183</v>
      </c>
      <c r="E49" s="22" t="s">
        <v>103</v>
      </c>
      <c r="F49" s="23"/>
      <c r="G49" s="23"/>
      <c r="H49" s="23" t="s">
        <v>632</v>
      </c>
      <c r="I49" s="23"/>
      <c r="J49" s="23" t="s">
        <v>183</v>
      </c>
      <c r="K49" s="23" t="s">
        <v>610</v>
      </c>
      <c r="L49" s="158"/>
      <c r="M49" s="23"/>
      <c r="N49" s="159"/>
      <c r="O49" s="23" t="s">
        <v>103</v>
      </c>
      <c r="P49" s="78" t="s">
        <v>505</v>
      </c>
      <c r="Q49" s="78" t="s">
        <v>505</v>
      </c>
      <c r="R49" s="23"/>
    </row>
    <row r="50" spans="1:18" ht="21.75" customHeight="1" x14ac:dyDescent="0.25">
      <c r="A50" s="199" t="s">
        <v>614</v>
      </c>
      <c r="B50" s="199"/>
      <c r="C50" s="199"/>
      <c r="D50" s="199"/>
      <c r="E50" s="199"/>
      <c r="F50" s="18"/>
      <c r="G50" s="18"/>
      <c r="H50" s="18"/>
      <c r="I50" s="18"/>
      <c r="J50" s="18"/>
      <c r="K50" s="18"/>
      <c r="L50" s="18"/>
      <c r="M50" s="18"/>
      <c r="N50" s="18"/>
      <c r="O50" s="18"/>
      <c r="P50" s="18"/>
      <c r="Q50" s="18"/>
      <c r="R50" s="18"/>
    </row>
    <row r="51" spans="1:18" ht="7.5" customHeight="1" x14ac:dyDescent="0.25"/>
    <row r="52" spans="1:18" ht="19.5" customHeight="1" x14ac:dyDescent="0.25">
      <c r="A52" s="198" t="s">
        <v>633</v>
      </c>
      <c r="B52" s="198"/>
      <c r="C52" s="198"/>
      <c r="D52" s="198"/>
      <c r="E52" s="198"/>
      <c r="F52" s="198"/>
      <c r="G52" s="198"/>
      <c r="H52" s="198"/>
      <c r="I52" s="198"/>
      <c r="J52" s="198"/>
      <c r="K52" s="198"/>
      <c r="L52" s="198"/>
      <c r="M52" s="198"/>
      <c r="N52" s="198"/>
      <c r="O52" s="198"/>
      <c r="P52" s="198"/>
      <c r="Q52" s="198"/>
      <c r="R52" s="198"/>
    </row>
    <row r="53" spans="1:18" ht="21.75" customHeight="1" x14ac:dyDescent="0.25">
      <c r="A53" s="65" t="s">
        <v>378</v>
      </c>
      <c r="B53" s="65" t="s">
        <v>547</v>
      </c>
      <c r="C53" s="65" t="s">
        <v>548</v>
      </c>
      <c r="D53" s="78" t="s">
        <v>297</v>
      </c>
      <c r="E53" s="22" t="s">
        <v>100</v>
      </c>
      <c r="F53" s="23"/>
      <c r="G53" s="23"/>
      <c r="H53" s="23" t="s">
        <v>634</v>
      </c>
      <c r="I53" s="23"/>
      <c r="J53" s="23" t="s">
        <v>297</v>
      </c>
      <c r="K53" s="23" t="s">
        <v>610</v>
      </c>
      <c r="L53" s="158"/>
      <c r="M53" s="23"/>
      <c r="N53" s="159"/>
      <c r="O53" s="23" t="s">
        <v>100</v>
      </c>
      <c r="P53" s="78" t="s">
        <v>505</v>
      </c>
      <c r="Q53" s="78" t="s">
        <v>505</v>
      </c>
      <c r="R53" s="23"/>
    </row>
    <row r="54" spans="1:18" ht="21.75" customHeight="1" x14ac:dyDescent="0.25">
      <c r="A54" s="63" t="s">
        <v>378</v>
      </c>
      <c r="B54" s="63" t="s">
        <v>547</v>
      </c>
      <c r="C54" s="63" t="s">
        <v>548</v>
      </c>
      <c r="D54" s="78" t="s">
        <v>297</v>
      </c>
      <c r="E54" s="19" t="s">
        <v>610</v>
      </c>
      <c r="F54" s="20"/>
      <c r="G54" s="20"/>
      <c r="H54" s="20" t="s">
        <v>634</v>
      </c>
      <c r="I54" s="20"/>
      <c r="J54" s="20" t="s">
        <v>297</v>
      </c>
      <c r="K54" s="20" t="s">
        <v>610</v>
      </c>
      <c r="L54" s="158"/>
      <c r="M54" s="20"/>
      <c r="N54" s="159"/>
      <c r="O54" s="20" t="s">
        <v>610</v>
      </c>
      <c r="P54" s="78" t="s">
        <v>505</v>
      </c>
      <c r="Q54" s="78" t="s">
        <v>505</v>
      </c>
      <c r="R54" s="20"/>
    </row>
    <row r="55" spans="1:18" ht="21.75" customHeight="1" x14ac:dyDescent="0.25">
      <c r="A55" s="200" t="s">
        <v>614</v>
      </c>
      <c r="B55" s="200"/>
      <c r="C55" s="200"/>
      <c r="D55" s="200"/>
      <c r="E55" s="200"/>
      <c r="F55" s="21"/>
      <c r="G55" s="21"/>
      <c r="H55" s="21"/>
      <c r="I55" s="21"/>
      <c r="J55" s="21"/>
      <c r="K55" s="21"/>
      <c r="L55" s="21"/>
      <c r="M55" s="21"/>
      <c r="N55" s="21"/>
      <c r="O55" s="21"/>
      <c r="P55" s="21"/>
      <c r="Q55" s="21"/>
      <c r="R55" s="21"/>
    </row>
    <row r="56" spans="1:18" ht="7.5" customHeight="1" x14ac:dyDescent="0.25"/>
    <row r="57" spans="1:18" ht="19.5" customHeight="1" x14ac:dyDescent="0.25">
      <c r="A57" s="198" t="s">
        <v>635</v>
      </c>
      <c r="B57" s="198"/>
      <c r="C57" s="198"/>
      <c r="D57" s="198"/>
      <c r="E57" s="198"/>
      <c r="F57" s="198"/>
      <c r="G57" s="198"/>
      <c r="H57" s="198"/>
      <c r="I57" s="198"/>
      <c r="J57" s="198"/>
      <c r="K57" s="198"/>
      <c r="L57" s="198"/>
      <c r="M57" s="198"/>
      <c r="N57" s="198"/>
      <c r="O57" s="198"/>
      <c r="P57" s="198"/>
      <c r="Q57" s="198"/>
      <c r="R57" s="198"/>
    </row>
    <row r="58" spans="1:18" ht="21.75" customHeight="1" x14ac:dyDescent="0.25">
      <c r="A58" s="63" t="s">
        <v>412</v>
      </c>
      <c r="B58" s="63" t="s">
        <v>554</v>
      </c>
      <c r="C58" s="63" t="s">
        <v>555</v>
      </c>
      <c r="D58" s="160" t="s">
        <v>214</v>
      </c>
      <c r="E58" s="19" t="s">
        <v>91</v>
      </c>
      <c r="F58" s="20"/>
      <c r="G58" s="20"/>
      <c r="H58" s="20" t="s">
        <v>636</v>
      </c>
      <c r="I58" s="20"/>
      <c r="J58" s="20" t="s">
        <v>214</v>
      </c>
      <c r="K58" s="20" t="s">
        <v>610</v>
      </c>
      <c r="L58" s="158"/>
      <c r="M58" s="20"/>
      <c r="N58" s="159"/>
      <c r="O58" s="20" t="s">
        <v>91</v>
      </c>
      <c r="P58" s="78" t="s">
        <v>505</v>
      </c>
      <c r="Q58" s="78" t="s">
        <v>505</v>
      </c>
      <c r="R58" s="20"/>
    </row>
    <row r="59" spans="1:18" ht="21.75" customHeight="1" x14ac:dyDescent="0.25">
      <c r="A59" s="65" t="s">
        <v>412</v>
      </c>
      <c r="B59" s="65" t="s">
        <v>554</v>
      </c>
      <c r="C59" s="65" t="s">
        <v>555</v>
      </c>
      <c r="D59" s="160" t="s">
        <v>214</v>
      </c>
      <c r="E59" s="22" t="s">
        <v>610</v>
      </c>
      <c r="F59" s="23"/>
      <c r="G59" s="23"/>
      <c r="H59" s="23" t="s">
        <v>636</v>
      </c>
      <c r="I59" s="23"/>
      <c r="J59" s="23" t="s">
        <v>214</v>
      </c>
      <c r="K59" s="23" t="s">
        <v>610</v>
      </c>
      <c r="L59" s="158"/>
      <c r="M59" s="23"/>
      <c r="N59" s="159"/>
      <c r="O59" s="23" t="s">
        <v>610</v>
      </c>
      <c r="P59" s="78" t="s">
        <v>505</v>
      </c>
      <c r="Q59" s="78" t="s">
        <v>505</v>
      </c>
      <c r="R59" s="23"/>
    </row>
    <row r="60" spans="1:18" ht="21.75" customHeight="1" x14ac:dyDescent="0.25">
      <c r="A60" s="199" t="s">
        <v>614</v>
      </c>
      <c r="B60" s="199"/>
      <c r="C60" s="199"/>
      <c r="D60" s="199"/>
      <c r="E60" s="199"/>
      <c r="F60" s="18"/>
      <c r="G60" s="18"/>
      <c r="H60" s="18"/>
      <c r="I60" s="18"/>
      <c r="J60" s="18"/>
      <c r="K60" s="18"/>
      <c r="L60" s="18"/>
      <c r="M60" s="18"/>
      <c r="N60" s="18"/>
      <c r="O60" s="18"/>
      <c r="P60" s="18"/>
      <c r="Q60" s="18"/>
      <c r="R60" s="18"/>
    </row>
    <row r="61" spans="1:18" ht="7.5" customHeight="1" x14ac:dyDescent="0.25"/>
    <row r="62" spans="1:18" ht="19.5" customHeight="1" x14ac:dyDescent="0.25">
      <c r="A62" s="198" t="s">
        <v>637</v>
      </c>
      <c r="B62" s="198"/>
      <c r="C62" s="198"/>
      <c r="D62" s="198"/>
      <c r="E62" s="198"/>
      <c r="F62" s="198"/>
      <c r="G62" s="198"/>
      <c r="H62" s="198"/>
      <c r="I62" s="198"/>
      <c r="J62" s="198"/>
      <c r="K62" s="198"/>
      <c r="L62" s="198"/>
      <c r="M62" s="198"/>
      <c r="N62" s="198"/>
      <c r="O62" s="198"/>
      <c r="P62" s="198"/>
      <c r="Q62" s="198"/>
      <c r="R62" s="198"/>
    </row>
    <row r="63" spans="1:18" ht="21.75" customHeight="1" x14ac:dyDescent="0.25">
      <c r="A63" s="65" t="s">
        <v>390</v>
      </c>
      <c r="B63" s="65" t="s">
        <v>551</v>
      </c>
      <c r="C63" s="65" t="s">
        <v>514</v>
      </c>
      <c r="D63" s="50" t="s">
        <v>183</v>
      </c>
      <c r="E63" s="22" t="s">
        <v>94</v>
      </c>
      <c r="F63" s="23"/>
      <c r="G63" s="23"/>
      <c r="H63" s="23" t="s">
        <v>638</v>
      </c>
      <c r="I63" s="23"/>
      <c r="J63" s="23" t="s">
        <v>183</v>
      </c>
      <c r="K63" s="23" t="s">
        <v>610</v>
      </c>
      <c r="L63" s="158"/>
      <c r="M63" s="23"/>
      <c r="N63" s="159"/>
      <c r="O63" s="23" t="s">
        <v>94</v>
      </c>
      <c r="P63" s="78" t="s">
        <v>505</v>
      </c>
      <c r="Q63" s="78" t="s">
        <v>505</v>
      </c>
      <c r="R63" s="23"/>
    </row>
    <row r="64" spans="1:18" ht="21.75" customHeight="1" x14ac:dyDescent="0.25">
      <c r="A64" s="63" t="s">
        <v>390</v>
      </c>
      <c r="B64" s="63" t="s">
        <v>551</v>
      </c>
      <c r="C64" s="63" t="s">
        <v>514</v>
      </c>
      <c r="D64" s="50" t="s">
        <v>183</v>
      </c>
      <c r="E64" s="19" t="s">
        <v>91</v>
      </c>
      <c r="F64" s="20"/>
      <c r="G64" s="20"/>
      <c r="H64" s="20" t="s">
        <v>638</v>
      </c>
      <c r="I64" s="20"/>
      <c r="J64" s="20" t="s">
        <v>183</v>
      </c>
      <c r="K64" s="20" t="s">
        <v>610</v>
      </c>
      <c r="L64" s="158"/>
      <c r="M64" s="20"/>
      <c r="N64" s="159"/>
      <c r="O64" s="20" t="s">
        <v>91</v>
      </c>
      <c r="P64" s="78" t="s">
        <v>505</v>
      </c>
      <c r="Q64" s="78" t="s">
        <v>505</v>
      </c>
      <c r="R64" s="20"/>
    </row>
    <row r="65" spans="1:18" ht="21.75" customHeight="1" x14ac:dyDescent="0.25">
      <c r="A65" s="200" t="s">
        <v>614</v>
      </c>
      <c r="B65" s="200"/>
      <c r="C65" s="200"/>
      <c r="D65" s="200"/>
      <c r="E65" s="200"/>
      <c r="F65" s="21"/>
      <c r="G65" s="21"/>
      <c r="H65" s="21"/>
      <c r="I65" s="21"/>
      <c r="J65" s="21"/>
      <c r="K65" s="21"/>
      <c r="L65" s="21"/>
      <c r="M65" s="21"/>
      <c r="N65" s="21"/>
      <c r="O65" s="21"/>
      <c r="P65" s="21"/>
      <c r="Q65" s="21"/>
      <c r="R65" s="21"/>
    </row>
    <row r="66" spans="1:18" ht="7.5" customHeight="1" x14ac:dyDescent="0.25"/>
    <row r="67" spans="1:18" ht="19.5" customHeight="1" x14ac:dyDescent="0.25">
      <c r="A67" s="198" t="s">
        <v>639</v>
      </c>
      <c r="B67" s="198"/>
      <c r="C67" s="198"/>
      <c r="D67" s="198"/>
      <c r="E67" s="198"/>
      <c r="F67" s="198"/>
      <c r="G67" s="198"/>
      <c r="H67" s="198"/>
      <c r="I67" s="198"/>
      <c r="J67" s="198"/>
      <c r="K67" s="198"/>
      <c r="L67" s="198"/>
      <c r="M67" s="198"/>
      <c r="N67" s="198"/>
      <c r="O67" s="198"/>
      <c r="P67" s="198"/>
      <c r="Q67" s="198"/>
      <c r="R67" s="198"/>
    </row>
    <row r="68" spans="1:18" ht="21.75" customHeight="1" x14ac:dyDescent="0.25">
      <c r="A68" s="63" t="s">
        <v>408</v>
      </c>
      <c r="B68" s="63" t="s">
        <v>553</v>
      </c>
      <c r="C68" s="63" t="s">
        <v>514</v>
      </c>
      <c r="D68" s="50" t="s">
        <v>183</v>
      </c>
      <c r="E68" s="19" t="s">
        <v>97</v>
      </c>
      <c r="F68" s="20"/>
      <c r="G68" s="20"/>
      <c r="H68" s="20" t="s">
        <v>640</v>
      </c>
      <c r="I68" s="20"/>
      <c r="J68" s="20" t="s">
        <v>183</v>
      </c>
      <c r="K68" s="20" t="s">
        <v>610</v>
      </c>
      <c r="L68" s="158"/>
      <c r="M68" s="20"/>
      <c r="N68" s="159"/>
      <c r="O68" s="20" t="s">
        <v>97</v>
      </c>
      <c r="P68" s="78" t="s">
        <v>505</v>
      </c>
      <c r="Q68" s="78" t="s">
        <v>505</v>
      </c>
      <c r="R68" s="20"/>
    </row>
    <row r="69" spans="1:18" ht="21.75" customHeight="1" x14ac:dyDescent="0.25">
      <c r="A69" s="200" t="s">
        <v>614</v>
      </c>
      <c r="B69" s="200"/>
      <c r="C69" s="200"/>
      <c r="D69" s="200"/>
      <c r="E69" s="200"/>
      <c r="F69" s="21"/>
      <c r="G69" s="21"/>
      <c r="H69" s="21"/>
      <c r="I69" s="21"/>
      <c r="J69" s="21"/>
      <c r="K69" s="21"/>
      <c r="L69" s="21"/>
      <c r="M69" s="21"/>
      <c r="N69" s="21"/>
      <c r="O69" s="21"/>
      <c r="P69" s="21"/>
      <c r="Q69" s="21"/>
      <c r="R69" s="21"/>
    </row>
    <row r="70" spans="1:18" ht="7.5" customHeight="1" x14ac:dyDescent="0.25"/>
    <row r="71" spans="1:18" ht="19.5" customHeight="1" x14ac:dyDescent="0.25">
      <c r="A71" s="201" t="s">
        <v>641</v>
      </c>
      <c r="B71" s="201"/>
      <c r="C71" s="201"/>
      <c r="D71" s="201"/>
      <c r="E71" s="201"/>
      <c r="F71" s="201"/>
      <c r="G71" s="201"/>
      <c r="H71" s="201"/>
      <c r="I71" s="201"/>
      <c r="J71" s="201"/>
      <c r="K71" s="201"/>
      <c r="L71" s="201"/>
      <c r="M71" s="201"/>
      <c r="N71" s="201"/>
      <c r="O71" s="201"/>
      <c r="P71" s="201"/>
      <c r="Q71" s="201"/>
      <c r="R71" s="201"/>
    </row>
    <row r="72" spans="1:18" ht="21.75" customHeight="1" x14ac:dyDescent="0.25">
      <c r="A72" s="63" t="s">
        <v>422</v>
      </c>
      <c r="B72" s="63" t="s">
        <v>558</v>
      </c>
      <c r="C72" s="63" t="s">
        <v>559</v>
      </c>
      <c r="D72" s="160" t="s">
        <v>214</v>
      </c>
      <c r="E72" s="19" t="s">
        <v>560</v>
      </c>
      <c r="F72" s="20"/>
      <c r="G72" s="20"/>
      <c r="H72" s="20" t="s">
        <v>642</v>
      </c>
      <c r="I72" s="20"/>
      <c r="J72" s="20" t="s">
        <v>214</v>
      </c>
      <c r="K72" s="20" t="s">
        <v>610</v>
      </c>
      <c r="L72" s="158"/>
      <c r="M72" s="20"/>
      <c r="N72" s="159"/>
      <c r="O72" s="20" t="s">
        <v>560</v>
      </c>
      <c r="P72" s="78" t="s">
        <v>505</v>
      </c>
      <c r="Q72" s="78" t="s">
        <v>505</v>
      </c>
      <c r="R72" s="20"/>
    </row>
    <row r="73" spans="1:18" ht="21.75" customHeight="1" x14ac:dyDescent="0.25">
      <c r="A73" s="200" t="s">
        <v>614</v>
      </c>
      <c r="B73" s="200"/>
      <c r="C73" s="200"/>
      <c r="D73" s="200"/>
      <c r="E73" s="200"/>
      <c r="F73" s="21"/>
      <c r="G73" s="21"/>
      <c r="H73" s="21"/>
      <c r="I73" s="21"/>
      <c r="J73" s="21"/>
      <c r="K73" s="21"/>
      <c r="L73" s="21"/>
      <c r="M73" s="21"/>
      <c r="N73" s="21"/>
      <c r="O73" s="21"/>
      <c r="P73" s="21"/>
      <c r="Q73" s="21"/>
      <c r="R73" s="21"/>
    </row>
    <row r="74" spans="1:18" ht="7.5" customHeight="1" x14ac:dyDescent="0.25"/>
    <row r="75" spans="1:18" ht="19.5" customHeight="1" x14ac:dyDescent="0.25">
      <c r="A75" s="198" t="s">
        <v>643</v>
      </c>
      <c r="B75" s="198"/>
      <c r="C75" s="198"/>
      <c r="D75" s="198"/>
      <c r="E75" s="198"/>
      <c r="F75" s="198"/>
      <c r="G75" s="198"/>
      <c r="H75" s="198"/>
      <c r="I75" s="198"/>
      <c r="J75" s="198"/>
      <c r="K75" s="198"/>
      <c r="L75" s="198"/>
      <c r="M75" s="198"/>
      <c r="N75" s="198"/>
      <c r="O75" s="198"/>
      <c r="P75" s="198"/>
      <c r="Q75" s="198"/>
      <c r="R75" s="198"/>
    </row>
    <row r="76" spans="1:18" ht="21.75" customHeight="1" x14ac:dyDescent="0.25">
      <c r="A76" s="63" t="s">
        <v>561</v>
      </c>
      <c r="B76" s="63" t="s">
        <v>562</v>
      </c>
      <c r="C76" s="63" t="s">
        <v>563</v>
      </c>
      <c r="D76" s="50" t="s">
        <v>183</v>
      </c>
      <c r="E76" s="19" t="s">
        <v>611</v>
      </c>
      <c r="F76" s="20"/>
      <c r="G76" s="20"/>
      <c r="H76" s="20" t="s">
        <v>644</v>
      </c>
      <c r="I76" s="20"/>
      <c r="J76" s="20" t="s">
        <v>183</v>
      </c>
      <c r="K76" s="20" t="s">
        <v>610</v>
      </c>
      <c r="L76" s="158"/>
      <c r="M76" s="20"/>
      <c r="N76" s="159"/>
      <c r="O76" s="20" t="s">
        <v>611</v>
      </c>
      <c r="P76" s="78" t="s">
        <v>505</v>
      </c>
      <c r="Q76" s="78" t="s">
        <v>505</v>
      </c>
      <c r="R76" s="20"/>
    </row>
    <row r="77" spans="1:18" ht="21.75" customHeight="1" x14ac:dyDescent="0.25">
      <c r="A77" s="65" t="s">
        <v>561</v>
      </c>
      <c r="B77" s="65" t="s">
        <v>562</v>
      </c>
      <c r="C77" s="65" t="s">
        <v>563</v>
      </c>
      <c r="D77" s="50" t="s">
        <v>183</v>
      </c>
      <c r="E77" s="22" t="s">
        <v>612</v>
      </c>
      <c r="F77" s="23"/>
      <c r="G77" s="23"/>
      <c r="H77" s="23" t="s">
        <v>644</v>
      </c>
      <c r="I77" s="23"/>
      <c r="J77" s="23" t="s">
        <v>183</v>
      </c>
      <c r="K77" s="23" t="s">
        <v>610</v>
      </c>
      <c r="L77" s="158"/>
      <c r="M77" s="23"/>
      <c r="N77" s="159"/>
      <c r="O77" s="23" t="s">
        <v>612</v>
      </c>
      <c r="P77" s="78" t="s">
        <v>505</v>
      </c>
      <c r="Q77" s="78" t="s">
        <v>505</v>
      </c>
      <c r="R77" s="23"/>
    </row>
    <row r="78" spans="1:18" ht="21.75" customHeight="1" x14ac:dyDescent="0.25">
      <c r="A78" s="199" t="s">
        <v>614</v>
      </c>
      <c r="B78" s="199"/>
      <c r="C78" s="199"/>
      <c r="D78" s="199"/>
      <c r="E78" s="199"/>
      <c r="F78" s="18"/>
      <c r="G78" s="18"/>
      <c r="H78" s="18"/>
      <c r="I78" s="18"/>
      <c r="J78" s="18"/>
      <c r="K78" s="18"/>
      <c r="L78" s="18"/>
      <c r="M78" s="18"/>
      <c r="N78" s="18"/>
      <c r="O78" s="18"/>
      <c r="P78" s="18"/>
      <c r="Q78" s="18"/>
      <c r="R78" s="18"/>
    </row>
    <row r="79" spans="1:18" ht="7.5" customHeight="1" x14ac:dyDescent="0.25"/>
    <row r="80" spans="1:18" ht="7.5" customHeight="1" x14ac:dyDescent="0.25"/>
    <row r="81" spans="1:18" ht="24" customHeight="1" x14ac:dyDescent="0.25">
      <c r="A81" s="191" t="s">
        <v>645</v>
      </c>
      <c r="B81" s="191"/>
      <c r="C81" s="191"/>
      <c r="D81" s="191"/>
      <c r="E81" s="191"/>
      <c r="F81" s="191"/>
      <c r="G81" s="191"/>
      <c r="H81" s="191"/>
      <c r="I81" s="191"/>
      <c r="J81" s="191"/>
      <c r="K81" s="191"/>
      <c r="L81" s="161">
        <f>SUMIF(K7:K79,"Yes",L7:L79)</f>
        <v>0</v>
      </c>
      <c r="M81" s="202" t="str">
        <f>COUNTIF(K7:K79,"Yes")&amp;" opps created  ·  "&amp;COUNTIF(I7:I79,"HOT")&amp;" hot leads  ·  "&amp;COUNTIF(Q7:Q79,"Done ✓")&amp;" SF entries done"</f>
        <v>0 opps created  ·  0 hot leads  ·  0 SF entries done</v>
      </c>
      <c r="N81" s="202"/>
      <c r="O81" s="202"/>
      <c r="P81" s="202"/>
      <c r="Q81" s="202"/>
      <c r="R81" s="202"/>
    </row>
  </sheetData>
  <mergeCells count="30">
    <mergeCell ref="A73:E73"/>
    <mergeCell ref="A75:R75"/>
    <mergeCell ref="A78:E78"/>
    <mergeCell ref="A81:K81"/>
    <mergeCell ref="M81:R81"/>
    <mergeCell ref="A62:R62"/>
    <mergeCell ref="A65:E65"/>
    <mergeCell ref="A67:R67"/>
    <mergeCell ref="A69:E69"/>
    <mergeCell ref="A71:R71"/>
    <mergeCell ref="A50:E50"/>
    <mergeCell ref="A52:R52"/>
    <mergeCell ref="A55:E55"/>
    <mergeCell ref="A57:R57"/>
    <mergeCell ref="A60:E60"/>
    <mergeCell ref="A33:R33"/>
    <mergeCell ref="A36:E36"/>
    <mergeCell ref="A38:R38"/>
    <mergeCell ref="A44:E44"/>
    <mergeCell ref="A46:R46"/>
    <mergeCell ref="A21:E21"/>
    <mergeCell ref="A23:R23"/>
    <mergeCell ref="A26:E26"/>
    <mergeCell ref="A28:R28"/>
    <mergeCell ref="A31:E31"/>
    <mergeCell ref="A1:R2"/>
    <mergeCell ref="A3:R3"/>
    <mergeCell ref="A7:R7"/>
    <mergeCell ref="A14:E14"/>
    <mergeCell ref="A16:R16"/>
  </mergeCells>
  <conditionalFormatting sqref="I7:I500">
    <cfRule type="expression" dxfId="16" priority="2">
      <formula>$I7="HOT"</formula>
    </cfRule>
    <cfRule type="expression" dxfId="15" priority="3">
      <formula>$I7="WARM"</formula>
    </cfRule>
    <cfRule type="expression" dxfId="14" priority="4">
      <formula>$I7="COLD"</formula>
    </cfRule>
  </conditionalFormatting>
  <conditionalFormatting sqref="K7:K500">
    <cfRule type="expression" dxfId="13" priority="11">
      <formula>$K7="Yes"</formula>
    </cfRule>
    <cfRule type="expression" dxfId="12" priority="12">
      <formula>$K7="No"</formula>
    </cfRule>
  </conditionalFormatting>
  <conditionalFormatting sqref="M7:M500">
    <cfRule type="expression" dxfId="11" priority="5">
      <formula>$M7="Won"</formula>
    </cfRule>
    <cfRule type="expression" dxfId="10" priority="6">
      <formula>$M7="Negotiating"</formula>
    </cfRule>
    <cfRule type="expression" dxfId="9" priority="7">
      <formula>$M7="Proposing"</formula>
    </cfRule>
    <cfRule type="expression" dxfId="8" priority="8">
      <formula>$M7="Qualifying"</formula>
    </cfRule>
    <cfRule type="expression" dxfId="7" priority="9">
      <formula>$M7="Lost"</formula>
    </cfRule>
    <cfRule type="expression" dxfId="6" priority="10">
      <formula>$M7="On Hold"</formula>
    </cfRule>
  </conditionalFormatting>
  <conditionalFormatting sqref="N7:N500">
    <cfRule type="expression" dxfId="5" priority="18">
      <formula>AND(N7&lt;TODAY(),P7&lt;&gt;"Done",N7&lt;&gt;"")</formula>
    </cfRule>
  </conditionalFormatting>
  <conditionalFormatting sqref="P7:P500">
    <cfRule type="expression" dxfId="4" priority="13">
      <formula>$P7="Done"</formula>
    </cfRule>
    <cfRule type="expression" dxfId="3" priority="14">
      <formula>$P7="Overdue"</formula>
    </cfRule>
    <cfRule type="expression" dxfId="2" priority="15">
      <formula>$P7="Pending"</formula>
    </cfRule>
  </conditionalFormatting>
  <conditionalFormatting sqref="Q7:Q500">
    <cfRule type="expression" dxfId="1" priority="16">
      <formula>$Q7="Done ✓"</formula>
    </cfRule>
    <cfRule type="expression" dxfId="0" priority="17">
      <formula>$Q7="Pending"</formula>
    </cfRule>
  </conditionalFormatting>
  <dataValidations count="5">
    <dataValidation type="list" allowBlank="1" sqref="I7:I500" xr:uid="{00000000-0002-0000-0400-000000000000}">
      <formula1>"HOT,WARM,COLD"</formula1>
      <formula2>0</formula2>
    </dataValidation>
    <dataValidation type="list" allowBlank="1" sqref="K7:K500" xr:uid="{00000000-0002-0000-0400-000001000000}">
      <formula1>"Yes,No,TBD"</formula1>
      <formula2>0</formula2>
    </dataValidation>
    <dataValidation type="list" allowBlank="1" sqref="M7:M500" xr:uid="{00000000-0002-0000-0400-000002000000}">
      <formula1>"Qualifying,Proposing,Negotiating,Won,Lost,On Hold"</formula1>
      <formula2>0</formula2>
    </dataValidation>
    <dataValidation type="list" allowBlank="1" sqref="P7:P500" xr:uid="{00000000-0002-0000-0400-000003000000}">
      <formula1>"Done,Pending,Overdue,N/A"</formula1>
      <formula2>0</formula2>
    </dataValidation>
    <dataValidation type="list" allowBlank="1" sqref="Q7:Q500" xr:uid="{00000000-0002-0000-0400-000004000000}">
      <formula1>"Done ✓,Pending,Not Required"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Action Tracker</vt:lpstr>
      <vt:lpstr>Dashboard</vt:lpstr>
      <vt:lpstr>Year Calendar</vt:lpstr>
      <vt:lpstr>Attendee 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Jon EUSTACE</cp:lastModifiedBy>
  <cp:revision>0</cp:revision>
  <dcterms:created xsi:type="dcterms:W3CDTF">2026-04-19T01:11:44Z</dcterms:created>
  <dcterms:modified xsi:type="dcterms:W3CDTF">2026-04-19T03:26:59Z</dcterms:modified>
  <dc:language>en-US</dc:language>
</cp:coreProperties>
</file>