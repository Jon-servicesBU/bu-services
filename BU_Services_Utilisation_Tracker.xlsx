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eekly Utilisation" sheetId="1" state="visible" r:id="rId3"/>
    <sheet name="CGSB Qualification Tracker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<sst xmlns="http://schemas.openxmlformats.org/spreadsheetml/2006/main" count="273" uniqueCount="113">
  <si>
    <t xml:space="preserve">BU SERVICES — CREW UTILISATION TRACKER</t>
  </si>
  <si>
    <t xml:space="preserve">Update weekly by Wednesday before 9AM Ops meeting  ·  Target: 85%+  ·  Power Automate reads this Sunday 7PM ET</t>
  </si>
  <si>
    <t xml:space="preserve">HOW TO UPDATE: Enter the ISO week (e.g. 2026-W20), available hours, and billable hours for each region. % is auto-calculated. Green = on/above target. Amber = 75-84%. Red = below 75%.</t>
  </si>
  <si>
    <t xml:space="preserve">LATEST WEEK</t>
  </si>
  <si>
    <t xml:space="preserve">HQ %</t>
  </si>
  <si>
    <t xml:space="preserve">Montréal %</t>
  </si>
  <si>
    <t xml:space="preserve">Central %</t>
  </si>
  <si>
    <t xml:space="preserve">Edmonton %</t>
  </si>
  <si>
    <t xml:space="preserve">Vancouver %</t>
  </si>
  <si>
    <t xml:space="preserve">BU Avg %</t>
  </si>
  <si>
    <t xml:space="preserve">Week</t>
  </si>
  <si>
    <t xml:space="preserve">#</t>
  </si>
  <si>
    <t xml:space="preserve">Region</t>
  </si>
  <si>
    <t xml:space="preserve">Available Hrs</t>
  </si>
  <si>
    <t xml:space="preserve">Billable Hrs</t>
  </si>
  <si>
    <t xml:space="preserve">Utilisation %</t>
  </si>
  <si>
    <t xml:space="preserve">vs Target</t>
  </si>
  <si>
    <t xml:space="preserve">RAG</t>
  </si>
  <si>
    <t xml:space="preserve">Avail Total</t>
  </si>
  <si>
    <t xml:space="preserve">Notes</t>
  </si>
  <si>
    <t xml:space="preserve">2026-W18</t>
  </si>
  <si>
    <t xml:space="preserve">HQ (Québec City)</t>
  </si>
  <si>
    <t xml:space="preserve">BLUE cells = manual input
Target utilisation = 85%
Update every Wednesday before 9AM Ops meeting</t>
  </si>
  <si>
    <t xml:space="preserve">Montréal</t>
  </si>
  <si>
    <t xml:space="preserve">Central (Whitby/Oakville/Thunder Bay)</t>
  </si>
  <si>
    <t xml:space="preserve">Edmonton</t>
  </si>
  <si>
    <t xml:space="preserve">OPS LEADS BY REGION:
HQ &amp; Montréal → Eric Rodrigue
Central → Joel Djordjevic
Edmonton &amp; Vancouver → Jason Borza
All → Alex Cyr (oversight)</t>
  </si>
  <si>
    <t xml:space="preserve">Vancouver</t>
  </si>
  <si>
    <t xml:space="preserve">BU Total / Avg</t>
  </si>
  <si>
    <t xml:space="preserve">2026-W19</t>
  </si>
  <si>
    <t xml:space="preserve">2026-W20</t>
  </si>
  <si>
    <t xml:space="preserve">2026-W21</t>
  </si>
  <si>
    <t xml:space="preserve">2026-W22</t>
  </si>
  <si>
    <t xml:space="preserve">2026-W23</t>
  </si>
  <si>
    <t xml:space="preserve">2026-W24</t>
  </si>
  <si>
    <t xml:space="preserve">2026-W25</t>
  </si>
  <si>
    <t xml:space="preserve">2026-W26</t>
  </si>
  <si>
    <t xml:space="preserve">2026-W27</t>
  </si>
  <si>
    <t xml:space="preserve">2026-W28</t>
  </si>
  <si>
    <t xml:space="preserve">2026-W29</t>
  </si>
  <si>
    <t xml:space="preserve">2026-W30</t>
  </si>
  <si>
    <t xml:space="preserve">2026-W31</t>
  </si>
  <si>
    <t xml:space="preserve">2026-W32</t>
  </si>
  <si>
    <t xml:space="preserve">2026-W33</t>
  </si>
  <si>
    <t xml:space="preserve">2026-W34</t>
  </si>
  <si>
    <t xml:space="preserve">2026-W35</t>
  </si>
  <si>
    <t xml:space="preserve">2026-W36</t>
  </si>
  <si>
    <t xml:space="preserve">2026-W37</t>
  </si>
  <si>
    <t xml:space="preserve">2026-W38</t>
  </si>
  <si>
    <t xml:space="preserve">2026-W39</t>
  </si>
  <si>
    <t xml:space="preserve">2026-W40</t>
  </si>
  <si>
    <t xml:space="preserve">2026-W41</t>
  </si>
  <si>
    <t xml:space="preserve">2026-W42</t>
  </si>
  <si>
    <t xml:space="preserve">2026-W43</t>
  </si>
  <si>
    <t xml:space="preserve">BU SERVICES — CGSB TECHNICIAN QUALIFICATION TRACKER</t>
  </si>
  <si>
    <t xml:space="preserve">Owner: Louis-Pier Théberge  ·  Update before every Nuclear Steering meeting  ·  Critical for OPG MSA tender (Q3 2026)</t>
  </si>
  <si>
    <t xml:space="preserve">CGSB = Canadian General Standards Board  ·  NDT qualification levels: Level I (trainee), Level II (independent), Level III (certifier)  ·  OPG MSA requires CGSB Level II minimum for all methods</t>
  </si>
  <si>
    <t xml:space="preserve">  LEGEND:   ✓ Certified (current)     EXP = Expired     I / II / III = Level held     — = Not applicable     ? = Confirm with tech</t>
  </si>
  <si>
    <t xml:space="preserve">Technician Name</t>
  </si>
  <si>
    <t xml:space="preserve">Home Region</t>
  </si>
  <si>
    <t xml:space="preserve">UT
(Ultrasonic Testing)</t>
  </si>
  <si>
    <t xml:space="preserve">PAUT
(Phased Array UT)</t>
  </si>
  <si>
    <t xml:space="preserve">ET
(Eddy Current)</t>
  </si>
  <si>
    <t xml:space="preserve">MT
(Magnetic Particle)</t>
  </si>
  <si>
    <t xml:space="preserve">PT
(Liquid Penetrant)</t>
  </si>
  <si>
    <t xml:space="preserve">RT
(Radiographic)</t>
  </si>
  <si>
    <t xml:space="preserve">VT
(Visual)</t>
  </si>
  <si>
    <t xml:space="preserve">OPG Ready?</t>
  </si>
  <si>
    <t xml:space="preserve">Next Cert Expiry</t>
  </si>
  <si>
    <t xml:space="preserve">Exam Booked?</t>
  </si>
  <si>
    <t xml:space="preserve">Notes / Actions</t>
  </si>
  <si>
    <t xml:space="preserve">Eric Rodrigue</t>
  </si>
  <si>
    <t xml:space="preserve">HQ / Montréal</t>
  </si>
  <si>
    <t xml:space="preserve">Ops Lead HQ &amp; Montréal</t>
  </si>
  <si>
    <t xml:space="preserve">Joel Djordjevic</t>
  </si>
  <si>
    <t xml:space="preserve">Central (ON)</t>
  </si>
  <si>
    <t xml:space="preserve">Ops Lead Central</t>
  </si>
  <si>
    <t xml:space="preserve">Brooke Althouse</t>
  </si>
  <si>
    <t xml:space="preserve">Central (N.ON)</t>
  </si>
  <si>
    <t xml:space="preserve">Northern Ontario ops</t>
  </si>
  <si>
    <t xml:space="preserve">Jason Borza</t>
  </si>
  <si>
    <t xml:space="preserve">Edmonton / Van</t>
  </si>
  <si>
    <t xml:space="preserve">Ops Lead West</t>
  </si>
  <si>
    <t xml:space="preserve">Louis-Pier Théberge</t>
  </si>
  <si>
    <t xml:space="preserve">HQ</t>
  </si>
  <si>
    <t xml:space="preserve">Nuclear specialist — T.R.U.S.T.I.E.</t>
  </si>
  <si>
    <t xml:space="preserve">Vinoth Tharma</t>
  </si>
  <si>
    <t xml:space="preserve">HQ / East</t>
  </si>
  <si>
    <t xml:space="preserve">Commercial Lead East</t>
  </si>
  <si>
    <t xml:space="preserve">Max Aggrey</t>
  </si>
  <si>
    <t xml:space="preserve">Commercial Lead West</t>
  </si>
  <si>
    <t xml:space="preserve">Joel Carlton</t>
  </si>
  <si>
    <t xml:space="preserve">Central / West</t>
  </si>
  <si>
    <t xml:space="preserve">Pipeline DA ops</t>
  </si>
  <si>
    <t xml:space="preserve">Keith Reichenbach</t>
  </si>
  <si>
    <t xml:space="preserve">ABSA lead — 3X Composite</t>
  </si>
  <si>
    <t xml:space="preserve">OPG MSA QUALIFICATION REQUIREMENTS (Case 1 — 25% WP scope, Tender Q3 2026)</t>
  </si>
  <si>
    <t xml:space="preserve">PAUT</t>
  </si>
  <si>
    <t xml:space="preserve">Level II minimum</t>
  </si>
  <si>
    <t xml:space="preserve">Phased Array UT — primary inspection method for OPG reactor components</t>
  </si>
  <si>
    <t xml:space="preserve">UT</t>
  </si>
  <si>
    <t xml:space="preserve">Conventional UT for thickness measurements and standard inspections</t>
  </si>
  <si>
    <t xml:space="preserve">ET</t>
  </si>
  <si>
    <t xml:space="preserve">Eddy Current — required for heat exchanger and tube inspections (T.R.U.S.T.I.E.)</t>
  </si>
  <si>
    <t xml:space="preserve">VT</t>
  </si>
  <si>
    <t xml:space="preserve">Visual Testing — required for all in-service inspection activities</t>
  </si>
  <si>
    <t xml:space="preserve">RT</t>
  </si>
  <si>
    <t xml:space="preserve">Level I acceptable</t>
  </si>
  <si>
    <t xml:space="preserve">Radiographic Testing — required for select welds and components</t>
  </si>
  <si>
    <t xml:space="preserve">MT</t>
  </si>
  <si>
    <t xml:space="preserve">Magnetic Particle — supplementary method</t>
  </si>
  <si>
    <t xml:space="preserve">PT</t>
  </si>
  <si>
    <t xml:space="preserve">Liquid Penetrant — supplementary method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</si>
</sst>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%"/>
    <numFmt numFmtId="167" formatCode="\+0.0%;\-0.0%;\-"/>
    <numFmt numFmtId="168" formatCode="yyyy\-mm\-dd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i val="true"/>
      <sz val="9"/>
      <color rgb="FF384660"/>
      <name val="Arial"/>
      <family val="0"/>
      <charset val="1"/>
    </font>
    <font>
      <b val="true"/>
      <sz val="9"/>
      <color rgb="FF0D1040"/>
      <name val="Arial"/>
      <family val="0"/>
      <charset val="1"/>
    </font>
    <font>
      <b val="true"/>
      <sz val="8"/>
      <color rgb="FF161C6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8"/>
      <color rgb="FFDDE3F0"/>
      <name val="Arial"/>
      <family val="0"/>
      <charset val="1"/>
    </font>
    <font>
      <b val="true"/>
      <sz val="9"/>
      <color rgb="FF161C60"/>
      <name val="Arial"/>
      <family val="0"/>
      <charset val="1"/>
    </font>
    <font>
      <sz val="9"/>
      <color rgb="FF38466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384660"/>
      <name val="Arial"/>
      <family val="0"/>
      <charset val="1"/>
    </font>
    <font>
      <b val="true"/>
      <sz val="9"/>
      <color rgb="FF384660"/>
      <name val="Arial"/>
      <family val="0"/>
      <charset val="1"/>
    </font>
    <font>
      <i val="true"/>
      <sz val="8"/>
      <color rgb="FF161C60"/>
      <name val="Arial"/>
      <family val="0"/>
      <charset val="1"/>
    </font>
    <font>
      <sz val="8"/>
      <color rgb="FF384660"/>
      <name val="Arial"/>
      <family val="0"/>
      <charset val="1"/>
    </font>
    <font>
      <i val="true"/>
      <sz val="8"/>
      <color rgb="FF384660"/>
      <name val="Arial"/>
      <family val="0"/>
      <charset val="1"/>
    </font>
    <font>
      <sz val="9"/>
      <color rgb="FF0000FF"/>
      <name val="Arial"/>
      <family val="0"/>
      <charset val="1"/>
    </font>
    <font>
      <sz val="9"/>
      <color rgb="FFDDE3F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0D505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61C60"/>
        <bgColor rgb="FF0D1040"/>
      </patternFill>
    </fill>
    <fill>
      <patternFill patternType="solid">
        <fgColor rgb="FF0D1040"/>
        <bgColor rgb="FF161C60"/>
      </patternFill>
    </fill>
    <fill>
      <patternFill patternType="solid">
        <fgColor rgb="FFF0F3FA"/>
        <bgColor rgb="FFEFF6FF"/>
      </patternFill>
    </fill>
    <fill>
      <patternFill patternType="solid">
        <fgColor rgb="FFDDE3F0"/>
        <bgColor rgb="FFE8EBF0"/>
      </patternFill>
    </fill>
    <fill>
      <patternFill patternType="solid">
        <fgColor rgb="FFFFFFFF"/>
        <bgColor rgb="FFEFF6FF"/>
      </patternFill>
    </fill>
    <fill>
      <patternFill patternType="solid">
        <fgColor rgb="FFEFF6FF"/>
        <bgColor rgb="FFF0F3FA"/>
      </patternFill>
    </fill>
    <fill>
      <patternFill patternType="solid">
        <fgColor rgb="FFE8EBF0"/>
        <bgColor rgb="FFF0F3FA"/>
      </patternFill>
    </fill>
    <fill>
      <patternFill patternType="solid">
        <fgColor rgb="FF0D5050"/>
        <bgColor rgb="FF166534"/>
      </patternFill>
    </fill>
    <fill>
      <patternFill patternType="solid">
        <fgColor rgb="FFE1F5EE"/>
        <bgColor rgb="FFDCFCE7"/>
      </patternFill>
    </fill>
  </fills>
  <borders count="6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DE3F0"/>
      </bottom>
      <diagonal/>
    </border>
    <border diagonalUp="false" diagonalDown="false">
      <left style="thin">
        <color rgb="FF0D1040"/>
      </left>
      <right style="thin">
        <color rgb="FF0D1040"/>
      </right>
      <top style="thin">
        <color rgb="FF0D1040"/>
      </top>
      <bottom style="thin">
        <color rgb="FF0D1040"/>
      </bottom>
      <diagonal/>
    </border>
    <border diagonalUp="false" diagonalDown="false">
      <left style="thin">
        <color rgb="FFDDE3F0"/>
      </left>
      <right style="thin">
        <color rgb="FFDDE3F0"/>
      </right>
      <top style="thin">
        <color rgb="FFDDE3F0"/>
      </top>
      <bottom style="thin">
        <color rgb="FFDDE3F0"/>
      </bottom>
      <diagonal/>
    </border>
    <border diagonalUp="false" diagonalDown="false">
      <left style="thin">
        <color rgb="FFDDE3F0"/>
      </left>
      <right/>
      <top style="thin">
        <color rgb="FFDDE3F0"/>
      </top>
      <bottom/>
      <diagonal/>
    </border>
    <border diagonalUp="false" diagonalDown="false">
      <left style="thin">
        <color rgb="FF0D5050"/>
      </left>
      <right style="thin">
        <color rgb="FF0D5050"/>
      </right>
      <top style="thin">
        <color rgb="FF0D5050"/>
      </top>
      <bottom style="thin">
        <color rgb="FF0D505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3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7" borderId="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7" fillId="4" borderId="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9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9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9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4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9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1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9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6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1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1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ont>
        <name val="Arial"/>
        <charset val="1"/>
        <family val="0"/>
        <color rgb="FF166534"/>
        <sz val="10"/>
      </font>
      <fill>
        <patternFill>
          <bgColor rgb="FFDCFCE7"/>
        </patternFill>
      </fill>
    </dxf>
    <dxf>
      <font>
        <name val="Arial"/>
        <charset val="1"/>
        <family val="0"/>
        <color rgb="FF854D0E"/>
        <sz val="10"/>
      </font>
      <fill>
        <patternFill>
          <bgColor rgb="FFFEF9C3"/>
        </patternFill>
      </fill>
    </dxf>
    <dxf>
      <font>
        <name val="Arial"/>
        <charset val="1"/>
        <family val="0"/>
        <color rgb="FF991B1B"/>
        <sz val="10"/>
      </font>
      <fill>
        <patternFill>
          <bgColor rgb="FFFEE2E2"/>
        </patternFill>
      </fill>
    </dxf>
    <dxf>
      <font>
        <name val="Arial"/>
        <charset val="1"/>
        <family val="0"/>
        <b val="1"/>
        <color rgb="FF166534"/>
        <sz val="9"/>
      </font>
      <fill>
        <patternFill>
          <bgColor rgb="FFDCFCE7"/>
        </patternFill>
      </fill>
    </dxf>
    <dxf>
      <font>
        <name val="Arial"/>
        <charset val="1"/>
        <family val="0"/>
        <b val="1"/>
        <color rgb="FF854D0E"/>
        <sz val="9"/>
      </font>
      <fill>
        <patternFill>
          <bgColor rgb="FFFEF9C3"/>
        </patternFill>
      </fill>
    </dxf>
    <dxf>
      <font>
        <name val="Arial"/>
        <charset val="1"/>
        <family val="0"/>
        <b val="1"/>
        <color rgb="FF991B1B"/>
        <sz val="9"/>
      </font>
      <fill>
        <patternFill>
          <bgColor rgb="FFFEE2E2"/>
        </patternFill>
      </fill>
    </dxf>
    <dxf>
      <font>
        <name val="Arial"/>
        <charset val="1"/>
        <family val="0"/>
        <b val="1"/>
        <color rgb="FF991B1B"/>
        <sz val="10"/>
      </font>
      <fill>
        <patternFill>
          <bgColor rgb="FFFEE2E2"/>
        </patternFill>
      </fill>
    </dxf>
    <dxf>
      <font>
        <name val="Arial"/>
        <charset val="1"/>
        <family val="0"/>
        <b val="1"/>
        <color rgb="FF166534"/>
        <sz val="10"/>
      </font>
      <fill>
        <patternFill>
          <bgColor rgb="FFDCFCE7"/>
        </patternFill>
      </fill>
    </dxf>
    <dxf>
      <font>
        <name val="Arial"/>
        <charset val="1"/>
        <family val="0"/>
        <b val="1"/>
        <color rgb="FF854D0E"/>
        <sz val="10"/>
      </font>
      <fill>
        <patternFill>
          <bgColor rgb="FFFEF9C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66534"/>
      <rgbColor rgb="FF0D1040"/>
      <rgbColor rgb="FF808000"/>
      <rgbColor rgb="FF800080"/>
      <rgbColor rgb="FF008080"/>
      <rgbColor rgb="FFEFF6FF"/>
      <rgbColor rgb="FF808080"/>
      <rgbColor rgb="FF9999FF"/>
      <rgbColor rgb="FF854D0E"/>
      <rgbColor rgb="FFFEF9C3"/>
      <rgbColor rgb="FFDCFCE7"/>
      <rgbColor rgb="FF660066"/>
      <rgbColor rgb="FFFF8080"/>
      <rgbColor rgb="FF0066CC"/>
      <rgbColor rgb="FFDDE3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1F5EE"/>
      <rgbColor rgb="FFE8EBF0"/>
      <rgbColor rgb="FFF0F3FA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61C60"/>
      <rgbColor rgb="FF339966"/>
      <rgbColor rgb="FF0D5050"/>
      <rgbColor rgb="FF333300"/>
      <rgbColor rgb="FF991B1B"/>
      <rgbColor rgb="FF993366"/>
      <rgbColor rgb="FF333399"/>
      <rgbColor rgb="FF38466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61C60"/>
    <pageSetUpPr fitToPage="false"/>
  </sheetPr>
  <dimension ref="A1:K16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4"/>
    <col collapsed="false" customWidth="true" hidden="false" outlineLevel="0" max="3" min="3" style="0" width="28"/>
    <col collapsed="false" customWidth="true" hidden="false" outlineLevel="0" max="5" min="4" style="0" width="14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0" min="10" style="0" width="13"/>
    <col collapsed="false" customWidth="true" hidden="false" outlineLevel="0" max="11" min="11" style="0" width="30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21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customFormat="false" ht="27.75" hidden="false" customHeight="true" outlineLevel="0" collapsed="false">
      <c r="A4" s="4" t="s">
        <v>3</v>
      </c>
      <c r="B4" s="4"/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</row>
    <row r="5" customFormat="false" ht="25.5" hidden="false" customHeight="true" outlineLevel="0" collapsed="false">
      <c r="A5" s="6" t="s">
        <v>11</v>
      </c>
      <c r="B5" s="6" t="s">
        <v>10</v>
      </c>
      <c r="C5" s="6" t="s">
        <v>12</v>
      </c>
      <c r="D5" s="6" t="s">
        <v>13</v>
      </c>
      <c r="E5" s="6" t="s">
        <v>14</v>
      </c>
      <c r="F5" s="6" t="s">
        <v>15</v>
      </c>
      <c r="G5" s="6" t="s">
        <v>16</v>
      </c>
      <c r="H5" s="6" t="s">
        <v>17</v>
      </c>
      <c r="I5" s="6" t="s">
        <v>9</v>
      </c>
      <c r="J5" s="6" t="s">
        <v>18</v>
      </c>
      <c r="K5" s="6" t="s">
        <v>19</v>
      </c>
    </row>
    <row r="6" customFormat="false" ht="15" hidden="false" customHeight="true" outlineLevel="0" collapsed="false">
      <c r="A6" s="7" t="n">
        <v>1</v>
      </c>
      <c r="B6" s="8" t="s">
        <v>20</v>
      </c>
      <c r="C6" s="9" t="s">
        <v>21</v>
      </c>
      <c r="D6" s="10"/>
      <c r="E6" s="10"/>
      <c r="F6" s="11" t="str">
        <f aca="false">IF(D6=0,"",E6/D6)</f>
        <v/>
      </c>
      <c r="G6" s="12" t="str">
        <f aca="false">IF(F6="","",F6-0.85)</f>
        <v/>
      </c>
      <c r="H6" s="13" t="str">
        <f aca="false">IF(F6="","—",IF(F6&gt;=0.85,"On Target",IF(F6&gt;=0.75,"Monitor","Below Target")))</f>
        <v>—</v>
      </c>
      <c r="J6" s="14" t="s">
        <v>22</v>
      </c>
      <c r="K6" s="14"/>
    </row>
    <row r="7" customFormat="false" ht="15" hidden="false" customHeight="false" outlineLevel="0" collapsed="false">
      <c r="A7" s="7" t="n">
        <v>2</v>
      </c>
      <c r="B7" s="8"/>
      <c r="C7" s="15" t="s">
        <v>23</v>
      </c>
      <c r="D7" s="10"/>
      <c r="E7" s="10"/>
      <c r="F7" s="11" t="str">
        <f aca="false">IF(D7=0,"",E7/D7)</f>
        <v/>
      </c>
      <c r="G7" s="12" t="str">
        <f aca="false">IF(F7="","",F7-0.85)</f>
        <v/>
      </c>
      <c r="H7" s="13" t="str">
        <f aca="false">IF(F7="","—",IF(F7&gt;=0.85,"On Target",IF(F7&gt;=0.75,"Monitor","Below Target")))</f>
        <v>—</v>
      </c>
      <c r="J7" s="14"/>
      <c r="K7" s="14"/>
    </row>
    <row r="8" customFormat="false" ht="15" hidden="false" customHeight="false" outlineLevel="0" collapsed="false">
      <c r="A8" s="7" t="n">
        <v>3</v>
      </c>
      <c r="B8" s="8"/>
      <c r="C8" s="9" t="s">
        <v>24</v>
      </c>
      <c r="D8" s="10"/>
      <c r="E8" s="10"/>
      <c r="F8" s="11" t="str">
        <f aca="false">IF(D8=0,"",E8/D8)</f>
        <v/>
      </c>
      <c r="G8" s="12" t="str">
        <f aca="false">IF(F8="","",F8-0.85)</f>
        <v/>
      </c>
      <c r="H8" s="13" t="str">
        <f aca="false">IF(F8="","—",IF(F8&gt;=0.85,"On Target",IF(F8&gt;=0.75,"Monitor","Below Target")))</f>
        <v>—</v>
      </c>
      <c r="J8" s="14"/>
      <c r="K8" s="14"/>
    </row>
    <row r="9" customFormat="false" ht="15" hidden="false" customHeight="true" outlineLevel="0" collapsed="false">
      <c r="A9" s="7" t="n">
        <v>4</v>
      </c>
      <c r="B9" s="8"/>
      <c r="C9" s="15" t="s">
        <v>25</v>
      </c>
      <c r="D9" s="10"/>
      <c r="E9" s="10"/>
      <c r="F9" s="11" t="str">
        <f aca="false">IF(D9=0,"",E9/D9)</f>
        <v/>
      </c>
      <c r="G9" s="12" t="str">
        <f aca="false">IF(F9="","",F9-0.85)</f>
        <v/>
      </c>
      <c r="H9" s="13" t="str">
        <f aca="false">IF(F9="","—",IF(F9&gt;=0.85,"On Target",IF(F9&gt;=0.75,"Monitor","Below Target")))</f>
        <v>—</v>
      </c>
      <c r="J9" s="16" t="s">
        <v>26</v>
      </c>
      <c r="K9" s="16"/>
    </row>
    <row r="10" customFormat="false" ht="15" hidden="false" customHeight="false" outlineLevel="0" collapsed="false">
      <c r="A10" s="7" t="n">
        <v>5</v>
      </c>
      <c r="B10" s="8"/>
      <c r="C10" s="9" t="s">
        <v>27</v>
      </c>
      <c r="D10" s="10"/>
      <c r="E10" s="10"/>
      <c r="F10" s="11" t="str">
        <f aca="false">IF(D10=0,"",E10/D10)</f>
        <v/>
      </c>
      <c r="G10" s="12" t="str">
        <f aca="false">IF(F10="","",F10-0.85)</f>
        <v/>
      </c>
      <c r="H10" s="13" t="str">
        <f aca="false">IF(F10="","—",IF(F10&gt;=0.85,"On Target",IF(F10&gt;=0.75,"Monitor","Below Target")))</f>
        <v>—</v>
      </c>
      <c r="J10" s="16"/>
      <c r="K10" s="16"/>
    </row>
    <row r="11" customFormat="false" ht="3.75" hidden="false" customHeight="true" outlineLevel="0" collapsed="false">
      <c r="A11" s="17"/>
      <c r="B11" s="17"/>
      <c r="C11" s="18" t="s">
        <v>28</v>
      </c>
      <c r="D11" s="19" t="n">
        <f aca="false">SUM(D6:D10)</f>
        <v>0</v>
      </c>
      <c r="E11" s="19" t="n">
        <f aca="false">SUM(E6:E10)</f>
        <v>0</v>
      </c>
      <c r="F11" s="20" t="str">
        <f aca="false">IF(D11=0,"",E11/D11)</f>
        <v/>
      </c>
      <c r="G11" s="21" t="str">
        <f aca="false">IF(F11="","",F11-0.85)</f>
        <v/>
      </c>
      <c r="H11" s="22" t="str">
        <f aca="false">IF(F11="","—",IF(F11&gt;=0.85,"On Target",IF(F11&gt;=0.75,"Monitor","Below Target")))</f>
        <v>—</v>
      </c>
      <c r="I11" s="17"/>
      <c r="J11" s="16"/>
      <c r="K11" s="16"/>
    </row>
    <row r="12" customFormat="false" ht="15" hidden="false" customHeight="false" outlineLevel="0" collapsed="false">
      <c r="A12" s="7" t="n">
        <v>7</v>
      </c>
      <c r="B12" s="8" t="s">
        <v>29</v>
      </c>
      <c r="C12" s="9" t="s">
        <v>21</v>
      </c>
      <c r="D12" s="10"/>
      <c r="E12" s="10"/>
      <c r="F12" s="11" t="str">
        <f aca="false">IF(D12=0,"",E12/D12)</f>
        <v/>
      </c>
      <c r="G12" s="12" t="str">
        <f aca="false">IF(F12="","",F12-0.85)</f>
        <v/>
      </c>
      <c r="H12" s="13" t="str">
        <f aca="false">IF(F12="","—",IF(F12&gt;=0.85,"On Target",IF(F12&gt;=0.75,"Monitor","Below Target")))</f>
        <v>—</v>
      </c>
      <c r="K12" s="23"/>
    </row>
    <row r="13" customFormat="false" ht="15" hidden="false" customHeight="false" outlineLevel="0" collapsed="false">
      <c r="A13" s="7" t="n">
        <v>8</v>
      </c>
      <c r="B13" s="8"/>
      <c r="C13" s="15" t="s">
        <v>23</v>
      </c>
      <c r="D13" s="10"/>
      <c r="E13" s="10"/>
      <c r="F13" s="11" t="str">
        <f aca="false">IF(D13=0,"",E13/D13)</f>
        <v/>
      </c>
      <c r="G13" s="12" t="str">
        <f aca="false">IF(F13="","",F13-0.85)</f>
        <v/>
      </c>
      <c r="H13" s="13" t="str">
        <f aca="false">IF(F13="","—",IF(F13&gt;=0.85,"On Target",IF(F13&gt;=0.75,"Monitor","Below Target")))</f>
        <v>—</v>
      </c>
      <c r="K13" s="23"/>
    </row>
    <row r="14" customFormat="false" ht="15" hidden="false" customHeight="false" outlineLevel="0" collapsed="false">
      <c r="A14" s="7" t="n">
        <v>9</v>
      </c>
      <c r="B14" s="8"/>
      <c r="C14" s="9" t="s">
        <v>24</v>
      </c>
      <c r="D14" s="10"/>
      <c r="E14" s="10"/>
      <c r="F14" s="11" t="str">
        <f aca="false">IF(D14=0,"",E14/D14)</f>
        <v/>
      </c>
      <c r="G14" s="12" t="str">
        <f aca="false">IF(F14="","",F14-0.85)</f>
        <v/>
      </c>
      <c r="H14" s="13" t="str">
        <f aca="false">IF(F14="","—",IF(F14&gt;=0.85,"On Target",IF(F14&gt;=0.75,"Monitor","Below Target")))</f>
        <v>—</v>
      </c>
      <c r="K14" s="23"/>
    </row>
    <row r="15" customFormat="false" ht="15" hidden="false" customHeight="false" outlineLevel="0" collapsed="false">
      <c r="A15" s="7" t="n">
        <v>10</v>
      </c>
      <c r="B15" s="8"/>
      <c r="C15" s="15" t="s">
        <v>25</v>
      </c>
      <c r="D15" s="10"/>
      <c r="E15" s="10"/>
      <c r="F15" s="11" t="str">
        <f aca="false">IF(D15=0,"",E15/D15)</f>
        <v/>
      </c>
      <c r="G15" s="12" t="str">
        <f aca="false">IF(F15="","",F15-0.85)</f>
        <v/>
      </c>
      <c r="H15" s="13" t="str">
        <f aca="false">IF(F15="","—",IF(F15&gt;=0.85,"On Target",IF(F15&gt;=0.75,"Monitor","Below Target")))</f>
        <v>—</v>
      </c>
      <c r="K15" s="23"/>
    </row>
    <row r="16" customFormat="false" ht="15" hidden="false" customHeight="false" outlineLevel="0" collapsed="false">
      <c r="A16" s="7" t="n">
        <v>11</v>
      </c>
      <c r="B16" s="8"/>
      <c r="C16" s="9" t="s">
        <v>27</v>
      </c>
      <c r="D16" s="10"/>
      <c r="E16" s="10"/>
      <c r="F16" s="11" t="str">
        <f aca="false">IF(D16=0,"",E16/D16)</f>
        <v/>
      </c>
      <c r="G16" s="12" t="str">
        <f aca="false">IF(F16="","",F16-0.85)</f>
        <v/>
      </c>
      <c r="H16" s="13" t="str">
        <f aca="false">IF(F16="","—",IF(F16&gt;=0.85,"On Target",IF(F16&gt;=0.75,"Monitor","Below Target")))</f>
        <v>—</v>
      </c>
      <c r="K16" s="23"/>
    </row>
    <row r="17" customFormat="false" ht="3.75" hidden="false" customHeight="true" outlineLevel="0" collapsed="false">
      <c r="A17" s="17"/>
      <c r="B17" s="17"/>
      <c r="C17" s="18" t="s">
        <v>28</v>
      </c>
      <c r="D17" s="19" t="n">
        <f aca="false">SUM(D12:D16)</f>
        <v>0</v>
      </c>
      <c r="E17" s="19" t="n">
        <f aca="false">SUM(E12:E16)</f>
        <v>0</v>
      </c>
      <c r="F17" s="20" t="str">
        <f aca="false">IF(D17=0,"",E17/D17)</f>
        <v/>
      </c>
      <c r="G17" s="21" t="str">
        <f aca="false">IF(F17="","",F17-0.85)</f>
        <v/>
      </c>
      <c r="H17" s="22" t="str">
        <f aca="false">IF(F17="","—",IF(F17&gt;=0.85,"On Target",IF(F17&gt;=0.75,"Monitor","Below Target")))</f>
        <v>—</v>
      </c>
      <c r="I17" s="17"/>
      <c r="J17" s="17"/>
      <c r="K17" s="17"/>
    </row>
    <row r="18" customFormat="false" ht="15" hidden="false" customHeight="false" outlineLevel="0" collapsed="false">
      <c r="A18" s="7" t="n">
        <v>13</v>
      </c>
      <c r="B18" s="8" t="s">
        <v>30</v>
      </c>
      <c r="C18" s="9" t="s">
        <v>21</v>
      </c>
      <c r="D18" s="10"/>
      <c r="E18" s="10"/>
      <c r="F18" s="11" t="str">
        <f aca="false">IF(D18=0,"",E18/D18)</f>
        <v/>
      </c>
      <c r="G18" s="12" t="str">
        <f aca="false">IF(F18="","",F18-0.85)</f>
        <v/>
      </c>
      <c r="H18" s="13" t="str">
        <f aca="false">IF(F18="","—",IF(F18&gt;=0.85,"On Target",IF(F18&gt;=0.75,"Monitor","Below Target")))</f>
        <v>—</v>
      </c>
      <c r="K18" s="23"/>
    </row>
    <row r="19" customFormat="false" ht="15" hidden="false" customHeight="false" outlineLevel="0" collapsed="false">
      <c r="A19" s="7" t="n">
        <v>14</v>
      </c>
      <c r="B19" s="8"/>
      <c r="C19" s="15" t="s">
        <v>23</v>
      </c>
      <c r="D19" s="10"/>
      <c r="E19" s="10"/>
      <c r="F19" s="11" t="str">
        <f aca="false">IF(D19=0,"",E19/D19)</f>
        <v/>
      </c>
      <c r="G19" s="12" t="str">
        <f aca="false">IF(F19="","",F19-0.85)</f>
        <v/>
      </c>
      <c r="H19" s="13" t="str">
        <f aca="false">IF(F19="","—",IF(F19&gt;=0.85,"On Target",IF(F19&gt;=0.75,"Monitor","Below Target")))</f>
        <v>—</v>
      </c>
      <c r="K19" s="23"/>
    </row>
    <row r="20" customFormat="false" ht="15" hidden="false" customHeight="false" outlineLevel="0" collapsed="false">
      <c r="A20" s="7" t="n">
        <v>15</v>
      </c>
      <c r="B20" s="8"/>
      <c r="C20" s="9" t="s">
        <v>24</v>
      </c>
      <c r="D20" s="10"/>
      <c r="E20" s="10"/>
      <c r="F20" s="11" t="str">
        <f aca="false">IF(D20=0,"",E20/D20)</f>
        <v/>
      </c>
      <c r="G20" s="12" t="str">
        <f aca="false">IF(F20="","",F20-0.85)</f>
        <v/>
      </c>
      <c r="H20" s="13" t="str">
        <f aca="false">IF(F20="","—",IF(F20&gt;=0.85,"On Target",IF(F20&gt;=0.75,"Monitor","Below Target")))</f>
        <v>—</v>
      </c>
      <c r="K20" s="23"/>
    </row>
    <row r="21" customFormat="false" ht="15" hidden="false" customHeight="false" outlineLevel="0" collapsed="false">
      <c r="A21" s="7" t="n">
        <v>16</v>
      </c>
      <c r="B21" s="8"/>
      <c r="C21" s="15" t="s">
        <v>25</v>
      </c>
      <c r="D21" s="10"/>
      <c r="E21" s="10"/>
      <c r="F21" s="11" t="str">
        <f aca="false">IF(D21=0,"",E21/D21)</f>
        <v/>
      </c>
      <c r="G21" s="12" t="str">
        <f aca="false">IF(F21="","",F21-0.85)</f>
        <v/>
      </c>
      <c r="H21" s="13" t="str">
        <f aca="false">IF(F21="","—",IF(F21&gt;=0.85,"On Target",IF(F21&gt;=0.75,"Monitor","Below Target")))</f>
        <v>—</v>
      </c>
      <c r="K21" s="23"/>
    </row>
    <row r="22" customFormat="false" ht="15" hidden="false" customHeight="false" outlineLevel="0" collapsed="false">
      <c r="A22" s="7" t="n">
        <v>17</v>
      </c>
      <c r="B22" s="8"/>
      <c r="C22" s="9" t="s">
        <v>27</v>
      </c>
      <c r="D22" s="10"/>
      <c r="E22" s="10"/>
      <c r="F22" s="11" t="str">
        <f aca="false">IF(D22=0,"",E22/D22)</f>
        <v/>
      </c>
      <c r="G22" s="12" t="str">
        <f aca="false">IF(F22="","",F22-0.85)</f>
        <v/>
      </c>
      <c r="H22" s="13" t="str">
        <f aca="false">IF(F22="","—",IF(F22&gt;=0.85,"On Target",IF(F22&gt;=0.75,"Monitor","Below Target")))</f>
        <v>—</v>
      </c>
      <c r="K22" s="23"/>
    </row>
    <row r="23" customFormat="false" ht="3.75" hidden="false" customHeight="true" outlineLevel="0" collapsed="false">
      <c r="A23" s="17"/>
      <c r="B23" s="17"/>
      <c r="C23" s="18" t="s">
        <v>28</v>
      </c>
      <c r="D23" s="19" t="n">
        <f aca="false">SUM(D18:D22)</f>
        <v>0</v>
      </c>
      <c r="E23" s="19" t="n">
        <f aca="false">SUM(E18:E22)</f>
        <v>0</v>
      </c>
      <c r="F23" s="20" t="str">
        <f aca="false">IF(D23=0,"",E23/D23)</f>
        <v/>
      </c>
      <c r="G23" s="21" t="str">
        <f aca="false">IF(F23="","",F23-0.85)</f>
        <v/>
      </c>
      <c r="H23" s="22" t="str">
        <f aca="false">IF(F23="","—",IF(F23&gt;=0.85,"On Target",IF(F23&gt;=0.75,"Monitor","Below Target")))</f>
        <v>—</v>
      </c>
      <c r="I23" s="17"/>
      <c r="J23" s="17"/>
      <c r="K23" s="17"/>
    </row>
    <row r="24" customFormat="false" ht="15" hidden="false" customHeight="false" outlineLevel="0" collapsed="false">
      <c r="A24" s="7" t="n">
        <v>19</v>
      </c>
      <c r="B24" s="8" t="s">
        <v>31</v>
      </c>
      <c r="C24" s="9" t="s">
        <v>21</v>
      </c>
      <c r="D24" s="10"/>
      <c r="E24" s="10"/>
      <c r="F24" s="11" t="str">
        <f aca="false">IF(D24=0,"",E24/D24)</f>
        <v/>
      </c>
      <c r="G24" s="12" t="str">
        <f aca="false">IF(F24="","",F24-0.85)</f>
        <v/>
      </c>
      <c r="H24" s="13" t="str">
        <f aca="false">IF(F24="","—",IF(F24&gt;=0.85,"On Target",IF(F24&gt;=0.75,"Monitor","Below Target")))</f>
        <v>—</v>
      </c>
      <c r="K24" s="23"/>
    </row>
    <row r="25" customFormat="false" ht="15" hidden="false" customHeight="false" outlineLevel="0" collapsed="false">
      <c r="A25" s="7" t="n">
        <v>20</v>
      </c>
      <c r="B25" s="8"/>
      <c r="C25" s="15" t="s">
        <v>23</v>
      </c>
      <c r="D25" s="10"/>
      <c r="E25" s="10"/>
      <c r="F25" s="11" t="str">
        <f aca="false">IF(D25=0,"",E25/D25)</f>
        <v/>
      </c>
      <c r="G25" s="12" t="str">
        <f aca="false">IF(F25="","",F25-0.85)</f>
        <v/>
      </c>
      <c r="H25" s="13" t="str">
        <f aca="false">IF(F25="","—",IF(F25&gt;=0.85,"On Target",IF(F25&gt;=0.75,"Monitor","Below Target")))</f>
        <v>—</v>
      </c>
      <c r="K25" s="23"/>
    </row>
    <row r="26" customFormat="false" ht="15" hidden="false" customHeight="false" outlineLevel="0" collapsed="false">
      <c r="A26" s="7" t="n">
        <v>21</v>
      </c>
      <c r="B26" s="8"/>
      <c r="C26" s="9" t="s">
        <v>24</v>
      </c>
      <c r="D26" s="10"/>
      <c r="E26" s="10"/>
      <c r="F26" s="11" t="str">
        <f aca="false">IF(D26=0,"",E26/D26)</f>
        <v/>
      </c>
      <c r="G26" s="12" t="str">
        <f aca="false">IF(F26="","",F26-0.85)</f>
        <v/>
      </c>
      <c r="H26" s="13" t="str">
        <f aca="false">IF(F26="","—",IF(F26&gt;=0.85,"On Target",IF(F26&gt;=0.75,"Monitor","Below Target")))</f>
        <v>—</v>
      </c>
      <c r="K26" s="23"/>
    </row>
    <row r="27" customFormat="false" ht="15" hidden="false" customHeight="false" outlineLevel="0" collapsed="false">
      <c r="A27" s="7" t="n">
        <v>22</v>
      </c>
      <c r="B27" s="8"/>
      <c r="C27" s="15" t="s">
        <v>25</v>
      </c>
      <c r="D27" s="10"/>
      <c r="E27" s="10"/>
      <c r="F27" s="11" t="str">
        <f aca="false">IF(D27=0,"",E27/D27)</f>
        <v/>
      </c>
      <c r="G27" s="12" t="str">
        <f aca="false">IF(F27="","",F27-0.85)</f>
        <v/>
      </c>
      <c r="H27" s="13" t="str">
        <f aca="false">IF(F27="","—",IF(F27&gt;=0.85,"On Target",IF(F27&gt;=0.75,"Monitor","Below Target")))</f>
        <v>—</v>
      </c>
      <c r="K27" s="23"/>
    </row>
    <row r="28" customFormat="false" ht="15" hidden="false" customHeight="false" outlineLevel="0" collapsed="false">
      <c r="A28" s="7" t="n">
        <v>23</v>
      </c>
      <c r="B28" s="8"/>
      <c r="C28" s="9" t="s">
        <v>27</v>
      </c>
      <c r="D28" s="10"/>
      <c r="E28" s="10"/>
      <c r="F28" s="11" t="str">
        <f aca="false">IF(D28=0,"",E28/D28)</f>
        <v/>
      </c>
      <c r="G28" s="12" t="str">
        <f aca="false">IF(F28="","",F28-0.85)</f>
        <v/>
      </c>
      <c r="H28" s="13" t="str">
        <f aca="false">IF(F28="","—",IF(F28&gt;=0.85,"On Target",IF(F28&gt;=0.75,"Monitor","Below Target")))</f>
        <v>—</v>
      </c>
      <c r="K28" s="23"/>
    </row>
    <row r="29" customFormat="false" ht="3.75" hidden="false" customHeight="true" outlineLevel="0" collapsed="false">
      <c r="A29" s="17"/>
      <c r="B29" s="17"/>
      <c r="C29" s="18" t="s">
        <v>28</v>
      </c>
      <c r="D29" s="19" t="n">
        <f aca="false">SUM(D24:D28)</f>
        <v>0</v>
      </c>
      <c r="E29" s="19" t="n">
        <f aca="false">SUM(E24:E28)</f>
        <v>0</v>
      </c>
      <c r="F29" s="20" t="str">
        <f aca="false">IF(D29=0,"",E29/D29)</f>
        <v/>
      </c>
      <c r="G29" s="21" t="str">
        <f aca="false">IF(F29="","",F29-0.85)</f>
        <v/>
      </c>
      <c r="H29" s="22" t="str">
        <f aca="false">IF(F29="","—",IF(F29&gt;=0.85,"On Target",IF(F29&gt;=0.75,"Monitor","Below Target")))</f>
        <v>—</v>
      </c>
      <c r="I29" s="17"/>
      <c r="J29" s="17"/>
      <c r="K29" s="17"/>
    </row>
    <row r="30" customFormat="false" ht="15" hidden="false" customHeight="false" outlineLevel="0" collapsed="false">
      <c r="A30" s="7" t="n">
        <v>25</v>
      </c>
      <c r="B30" s="8" t="s">
        <v>32</v>
      </c>
      <c r="C30" s="9" t="s">
        <v>21</v>
      </c>
      <c r="D30" s="10"/>
      <c r="E30" s="10"/>
      <c r="F30" s="11" t="str">
        <f aca="false">IF(D30=0,"",E30/D30)</f>
        <v/>
      </c>
      <c r="G30" s="12" t="str">
        <f aca="false">IF(F30="","",F30-0.85)</f>
        <v/>
      </c>
      <c r="H30" s="13" t="str">
        <f aca="false">IF(F30="","—",IF(F30&gt;=0.85,"On Target",IF(F30&gt;=0.75,"Monitor","Below Target")))</f>
        <v>—</v>
      </c>
      <c r="K30" s="23"/>
    </row>
    <row r="31" customFormat="false" ht="15" hidden="false" customHeight="false" outlineLevel="0" collapsed="false">
      <c r="A31" s="7" t="n">
        <v>26</v>
      </c>
      <c r="B31" s="8"/>
      <c r="C31" s="15" t="s">
        <v>23</v>
      </c>
      <c r="D31" s="10"/>
      <c r="E31" s="10"/>
      <c r="F31" s="11" t="str">
        <f aca="false">IF(D31=0,"",E31/D31)</f>
        <v/>
      </c>
      <c r="G31" s="12" t="str">
        <f aca="false">IF(F31="","",F31-0.85)</f>
        <v/>
      </c>
      <c r="H31" s="13" t="str">
        <f aca="false">IF(F31="","—",IF(F31&gt;=0.85,"On Target",IF(F31&gt;=0.75,"Monitor","Below Target")))</f>
        <v>—</v>
      </c>
      <c r="K31" s="23"/>
    </row>
    <row r="32" customFormat="false" ht="15" hidden="false" customHeight="false" outlineLevel="0" collapsed="false">
      <c r="A32" s="7" t="n">
        <v>27</v>
      </c>
      <c r="B32" s="8"/>
      <c r="C32" s="9" t="s">
        <v>24</v>
      </c>
      <c r="D32" s="10"/>
      <c r="E32" s="10"/>
      <c r="F32" s="11" t="str">
        <f aca="false">IF(D32=0,"",E32/D32)</f>
        <v/>
      </c>
      <c r="G32" s="12" t="str">
        <f aca="false">IF(F32="","",F32-0.85)</f>
        <v/>
      </c>
      <c r="H32" s="13" t="str">
        <f aca="false">IF(F32="","—",IF(F32&gt;=0.85,"On Target",IF(F32&gt;=0.75,"Monitor","Below Target")))</f>
        <v>—</v>
      </c>
      <c r="K32" s="23"/>
    </row>
    <row r="33" customFormat="false" ht="15" hidden="false" customHeight="false" outlineLevel="0" collapsed="false">
      <c r="A33" s="7" t="n">
        <v>28</v>
      </c>
      <c r="B33" s="8"/>
      <c r="C33" s="15" t="s">
        <v>25</v>
      </c>
      <c r="D33" s="10"/>
      <c r="E33" s="10"/>
      <c r="F33" s="11" t="str">
        <f aca="false">IF(D33=0,"",E33/D33)</f>
        <v/>
      </c>
      <c r="G33" s="12" t="str">
        <f aca="false">IF(F33="","",F33-0.85)</f>
        <v/>
      </c>
      <c r="H33" s="13" t="str">
        <f aca="false">IF(F33="","—",IF(F33&gt;=0.85,"On Target",IF(F33&gt;=0.75,"Monitor","Below Target")))</f>
        <v>—</v>
      </c>
      <c r="K33" s="23"/>
    </row>
    <row r="34" customFormat="false" ht="15" hidden="false" customHeight="false" outlineLevel="0" collapsed="false">
      <c r="A34" s="7" t="n">
        <v>29</v>
      </c>
      <c r="B34" s="8"/>
      <c r="C34" s="9" t="s">
        <v>27</v>
      </c>
      <c r="D34" s="10"/>
      <c r="E34" s="10"/>
      <c r="F34" s="11" t="str">
        <f aca="false">IF(D34=0,"",E34/D34)</f>
        <v/>
      </c>
      <c r="G34" s="12" t="str">
        <f aca="false">IF(F34="","",F34-0.85)</f>
        <v/>
      </c>
      <c r="H34" s="13" t="str">
        <f aca="false">IF(F34="","—",IF(F34&gt;=0.85,"On Target",IF(F34&gt;=0.75,"Monitor","Below Target")))</f>
        <v>—</v>
      </c>
      <c r="K34" s="23"/>
    </row>
    <row r="35" customFormat="false" ht="3.75" hidden="false" customHeight="true" outlineLevel="0" collapsed="false">
      <c r="A35" s="17"/>
      <c r="B35" s="17"/>
      <c r="C35" s="18" t="s">
        <v>28</v>
      </c>
      <c r="D35" s="19" t="n">
        <f aca="false">SUM(D30:D34)</f>
        <v>0</v>
      </c>
      <c r="E35" s="19" t="n">
        <f aca="false">SUM(E30:E34)</f>
        <v>0</v>
      </c>
      <c r="F35" s="20" t="str">
        <f aca="false">IF(D35=0,"",E35/D35)</f>
        <v/>
      </c>
      <c r="G35" s="21" t="str">
        <f aca="false">IF(F35="","",F35-0.85)</f>
        <v/>
      </c>
      <c r="H35" s="22" t="str">
        <f aca="false">IF(F35="","—",IF(F35&gt;=0.85,"On Target",IF(F35&gt;=0.75,"Monitor","Below Target")))</f>
        <v>—</v>
      </c>
      <c r="I35" s="17"/>
      <c r="J35" s="17"/>
      <c r="K35" s="17"/>
    </row>
    <row r="36" customFormat="false" ht="15" hidden="false" customHeight="false" outlineLevel="0" collapsed="false">
      <c r="A36" s="7" t="n">
        <v>31</v>
      </c>
      <c r="B36" s="8" t="s">
        <v>33</v>
      </c>
      <c r="C36" s="9" t="s">
        <v>21</v>
      </c>
      <c r="D36" s="10"/>
      <c r="E36" s="10"/>
      <c r="F36" s="11" t="str">
        <f aca="false">IF(D36=0,"",E36/D36)</f>
        <v/>
      </c>
      <c r="G36" s="12" t="str">
        <f aca="false">IF(F36="","",F36-0.85)</f>
        <v/>
      </c>
      <c r="H36" s="13" t="str">
        <f aca="false">IF(F36="","—",IF(F36&gt;=0.85,"On Target",IF(F36&gt;=0.75,"Monitor","Below Target")))</f>
        <v>—</v>
      </c>
      <c r="K36" s="23"/>
    </row>
    <row r="37" customFormat="false" ht="15" hidden="false" customHeight="false" outlineLevel="0" collapsed="false">
      <c r="A37" s="7" t="n">
        <v>32</v>
      </c>
      <c r="B37" s="8"/>
      <c r="C37" s="15" t="s">
        <v>23</v>
      </c>
      <c r="D37" s="10"/>
      <c r="E37" s="10"/>
      <c r="F37" s="11" t="str">
        <f aca="false">IF(D37=0,"",E37/D37)</f>
        <v/>
      </c>
      <c r="G37" s="12" t="str">
        <f aca="false">IF(F37="","",F37-0.85)</f>
        <v/>
      </c>
      <c r="H37" s="13" t="str">
        <f aca="false">IF(F37="","—",IF(F37&gt;=0.85,"On Target",IF(F37&gt;=0.75,"Monitor","Below Target")))</f>
        <v>—</v>
      </c>
      <c r="K37" s="23"/>
    </row>
    <row r="38" customFormat="false" ht="15" hidden="false" customHeight="false" outlineLevel="0" collapsed="false">
      <c r="A38" s="7" t="n">
        <v>33</v>
      </c>
      <c r="B38" s="8"/>
      <c r="C38" s="9" t="s">
        <v>24</v>
      </c>
      <c r="D38" s="10"/>
      <c r="E38" s="10"/>
      <c r="F38" s="11" t="str">
        <f aca="false">IF(D38=0,"",E38/D38)</f>
        <v/>
      </c>
      <c r="G38" s="12" t="str">
        <f aca="false">IF(F38="","",F38-0.85)</f>
        <v/>
      </c>
      <c r="H38" s="13" t="str">
        <f aca="false">IF(F38="","—",IF(F38&gt;=0.85,"On Target",IF(F38&gt;=0.75,"Monitor","Below Target")))</f>
        <v>—</v>
      </c>
      <c r="K38" s="23"/>
    </row>
    <row r="39" customFormat="false" ht="15" hidden="false" customHeight="false" outlineLevel="0" collapsed="false">
      <c r="A39" s="7" t="n">
        <v>34</v>
      </c>
      <c r="B39" s="8"/>
      <c r="C39" s="15" t="s">
        <v>25</v>
      </c>
      <c r="D39" s="10"/>
      <c r="E39" s="10"/>
      <c r="F39" s="11" t="str">
        <f aca="false">IF(D39=0,"",E39/D39)</f>
        <v/>
      </c>
      <c r="G39" s="12" t="str">
        <f aca="false">IF(F39="","",F39-0.85)</f>
        <v/>
      </c>
      <c r="H39" s="13" t="str">
        <f aca="false">IF(F39="","—",IF(F39&gt;=0.85,"On Target",IF(F39&gt;=0.75,"Monitor","Below Target")))</f>
        <v>—</v>
      </c>
      <c r="K39" s="23"/>
    </row>
    <row r="40" customFormat="false" ht="15" hidden="false" customHeight="false" outlineLevel="0" collapsed="false">
      <c r="A40" s="7" t="n">
        <v>35</v>
      </c>
      <c r="B40" s="8"/>
      <c r="C40" s="9" t="s">
        <v>27</v>
      </c>
      <c r="D40" s="10"/>
      <c r="E40" s="10"/>
      <c r="F40" s="11" t="str">
        <f aca="false">IF(D40=0,"",E40/D40)</f>
        <v/>
      </c>
      <c r="G40" s="12" t="str">
        <f aca="false">IF(F40="","",F40-0.85)</f>
        <v/>
      </c>
      <c r="H40" s="13" t="str">
        <f aca="false">IF(F40="","—",IF(F40&gt;=0.85,"On Target",IF(F40&gt;=0.75,"Monitor","Below Target")))</f>
        <v>—</v>
      </c>
      <c r="K40" s="23"/>
    </row>
    <row r="41" customFormat="false" ht="3.75" hidden="false" customHeight="true" outlineLevel="0" collapsed="false">
      <c r="A41" s="17"/>
      <c r="B41" s="17"/>
      <c r="C41" s="18" t="s">
        <v>28</v>
      </c>
      <c r="D41" s="19" t="n">
        <f aca="false">SUM(D36:D40)</f>
        <v>0</v>
      </c>
      <c r="E41" s="19" t="n">
        <f aca="false">SUM(E36:E40)</f>
        <v>0</v>
      </c>
      <c r="F41" s="20" t="str">
        <f aca="false">IF(D41=0,"",E41/D41)</f>
        <v/>
      </c>
      <c r="G41" s="21" t="str">
        <f aca="false">IF(F41="","",F41-0.85)</f>
        <v/>
      </c>
      <c r="H41" s="22" t="str">
        <f aca="false">IF(F41="","—",IF(F41&gt;=0.85,"On Target",IF(F41&gt;=0.75,"Monitor","Below Target")))</f>
        <v>—</v>
      </c>
      <c r="I41" s="17"/>
      <c r="J41" s="17"/>
      <c r="K41" s="17"/>
    </row>
    <row r="42" customFormat="false" ht="15" hidden="false" customHeight="false" outlineLevel="0" collapsed="false">
      <c r="A42" s="7" t="n">
        <v>37</v>
      </c>
      <c r="B42" s="8" t="s">
        <v>34</v>
      </c>
      <c r="C42" s="9" t="s">
        <v>21</v>
      </c>
      <c r="D42" s="10"/>
      <c r="E42" s="10"/>
      <c r="F42" s="11" t="str">
        <f aca="false">IF(D42=0,"",E42/D42)</f>
        <v/>
      </c>
      <c r="G42" s="12" t="str">
        <f aca="false">IF(F42="","",F42-0.85)</f>
        <v/>
      </c>
      <c r="H42" s="13" t="str">
        <f aca="false">IF(F42="","—",IF(F42&gt;=0.85,"On Target",IF(F42&gt;=0.75,"Monitor","Below Target")))</f>
        <v>—</v>
      </c>
      <c r="K42" s="23"/>
    </row>
    <row r="43" customFormat="false" ht="15" hidden="false" customHeight="false" outlineLevel="0" collapsed="false">
      <c r="A43" s="7" t="n">
        <v>38</v>
      </c>
      <c r="B43" s="8"/>
      <c r="C43" s="15" t="s">
        <v>23</v>
      </c>
      <c r="D43" s="10"/>
      <c r="E43" s="10"/>
      <c r="F43" s="11" t="str">
        <f aca="false">IF(D43=0,"",E43/D43)</f>
        <v/>
      </c>
      <c r="G43" s="12" t="str">
        <f aca="false">IF(F43="","",F43-0.85)</f>
        <v/>
      </c>
      <c r="H43" s="13" t="str">
        <f aca="false">IF(F43="","—",IF(F43&gt;=0.85,"On Target",IF(F43&gt;=0.75,"Monitor","Below Target")))</f>
        <v>—</v>
      </c>
      <c r="K43" s="23"/>
    </row>
    <row r="44" customFormat="false" ht="15" hidden="false" customHeight="false" outlineLevel="0" collapsed="false">
      <c r="A44" s="7" t="n">
        <v>39</v>
      </c>
      <c r="B44" s="8"/>
      <c r="C44" s="9" t="s">
        <v>24</v>
      </c>
      <c r="D44" s="10"/>
      <c r="E44" s="10"/>
      <c r="F44" s="11" t="str">
        <f aca="false">IF(D44=0,"",E44/D44)</f>
        <v/>
      </c>
      <c r="G44" s="12" t="str">
        <f aca="false">IF(F44="","",F44-0.85)</f>
        <v/>
      </c>
      <c r="H44" s="13" t="str">
        <f aca="false">IF(F44="","—",IF(F44&gt;=0.85,"On Target",IF(F44&gt;=0.75,"Monitor","Below Target")))</f>
        <v>—</v>
      </c>
      <c r="K44" s="23"/>
    </row>
    <row r="45" customFormat="false" ht="15" hidden="false" customHeight="false" outlineLevel="0" collapsed="false">
      <c r="A45" s="7" t="n">
        <v>40</v>
      </c>
      <c r="B45" s="8"/>
      <c r="C45" s="15" t="s">
        <v>25</v>
      </c>
      <c r="D45" s="10"/>
      <c r="E45" s="10"/>
      <c r="F45" s="11" t="str">
        <f aca="false">IF(D45=0,"",E45/D45)</f>
        <v/>
      </c>
      <c r="G45" s="12" t="str">
        <f aca="false">IF(F45="","",F45-0.85)</f>
        <v/>
      </c>
      <c r="H45" s="13" t="str">
        <f aca="false">IF(F45="","—",IF(F45&gt;=0.85,"On Target",IF(F45&gt;=0.75,"Monitor","Below Target")))</f>
        <v>—</v>
      </c>
      <c r="K45" s="23"/>
    </row>
    <row r="46" customFormat="false" ht="15" hidden="false" customHeight="false" outlineLevel="0" collapsed="false">
      <c r="A46" s="7" t="n">
        <v>41</v>
      </c>
      <c r="B46" s="8"/>
      <c r="C46" s="9" t="s">
        <v>27</v>
      </c>
      <c r="D46" s="10"/>
      <c r="E46" s="10"/>
      <c r="F46" s="11" t="str">
        <f aca="false">IF(D46=0,"",E46/D46)</f>
        <v/>
      </c>
      <c r="G46" s="12" t="str">
        <f aca="false">IF(F46="","",F46-0.85)</f>
        <v/>
      </c>
      <c r="H46" s="13" t="str">
        <f aca="false">IF(F46="","—",IF(F46&gt;=0.85,"On Target",IF(F46&gt;=0.75,"Monitor","Below Target")))</f>
        <v>—</v>
      </c>
      <c r="K46" s="23"/>
    </row>
    <row r="47" customFormat="false" ht="3.75" hidden="false" customHeight="true" outlineLevel="0" collapsed="false">
      <c r="A47" s="17"/>
      <c r="B47" s="17"/>
      <c r="C47" s="18" t="s">
        <v>28</v>
      </c>
      <c r="D47" s="19" t="n">
        <f aca="false">SUM(D42:D46)</f>
        <v>0</v>
      </c>
      <c r="E47" s="19" t="n">
        <f aca="false">SUM(E42:E46)</f>
        <v>0</v>
      </c>
      <c r="F47" s="20" t="str">
        <f aca="false">IF(D47=0,"",E47/D47)</f>
        <v/>
      </c>
      <c r="G47" s="21" t="str">
        <f aca="false">IF(F47="","",F47-0.85)</f>
        <v/>
      </c>
      <c r="H47" s="22" t="str">
        <f aca="false">IF(F47="","—",IF(F47&gt;=0.85,"On Target",IF(F47&gt;=0.75,"Monitor","Below Target")))</f>
        <v>—</v>
      </c>
      <c r="I47" s="17"/>
      <c r="J47" s="17"/>
      <c r="K47" s="17"/>
    </row>
    <row r="48" customFormat="false" ht="15" hidden="false" customHeight="false" outlineLevel="0" collapsed="false">
      <c r="A48" s="7" t="n">
        <v>43</v>
      </c>
      <c r="B48" s="8" t="s">
        <v>35</v>
      </c>
      <c r="C48" s="9" t="s">
        <v>21</v>
      </c>
      <c r="D48" s="10"/>
      <c r="E48" s="10"/>
      <c r="F48" s="11" t="str">
        <f aca="false">IF(D48=0,"",E48/D48)</f>
        <v/>
      </c>
      <c r="G48" s="12" t="str">
        <f aca="false">IF(F48="","",F48-0.85)</f>
        <v/>
      </c>
      <c r="H48" s="13" t="str">
        <f aca="false">IF(F48="","—",IF(F48&gt;=0.85,"On Target",IF(F48&gt;=0.75,"Monitor","Below Target")))</f>
        <v>—</v>
      </c>
      <c r="K48" s="23"/>
    </row>
    <row r="49" customFormat="false" ht="15" hidden="false" customHeight="false" outlineLevel="0" collapsed="false">
      <c r="A49" s="7" t="n">
        <v>44</v>
      </c>
      <c r="B49" s="8"/>
      <c r="C49" s="15" t="s">
        <v>23</v>
      </c>
      <c r="D49" s="10"/>
      <c r="E49" s="10"/>
      <c r="F49" s="11" t="str">
        <f aca="false">IF(D49=0,"",E49/D49)</f>
        <v/>
      </c>
      <c r="G49" s="12" t="str">
        <f aca="false">IF(F49="","",F49-0.85)</f>
        <v/>
      </c>
      <c r="H49" s="13" t="str">
        <f aca="false">IF(F49="","—",IF(F49&gt;=0.85,"On Target",IF(F49&gt;=0.75,"Monitor","Below Target")))</f>
        <v>—</v>
      </c>
      <c r="K49" s="23"/>
    </row>
    <row r="50" customFormat="false" ht="15" hidden="false" customHeight="false" outlineLevel="0" collapsed="false">
      <c r="A50" s="7" t="n">
        <v>45</v>
      </c>
      <c r="B50" s="8"/>
      <c r="C50" s="9" t="s">
        <v>24</v>
      </c>
      <c r="D50" s="10"/>
      <c r="E50" s="10"/>
      <c r="F50" s="11" t="str">
        <f aca="false">IF(D50=0,"",E50/D50)</f>
        <v/>
      </c>
      <c r="G50" s="12" t="str">
        <f aca="false">IF(F50="","",F50-0.85)</f>
        <v/>
      </c>
      <c r="H50" s="13" t="str">
        <f aca="false">IF(F50="","—",IF(F50&gt;=0.85,"On Target",IF(F50&gt;=0.75,"Monitor","Below Target")))</f>
        <v>—</v>
      </c>
      <c r="K50" s="23"/>
    </row>
    <row r="51" customFormat="false" ht="15" hidden="false" customHeight="false" outlineLevel="0" collapsed="false">
      <c r="A51" s="7" t="n">
        <v>46</v>
      </c>
      <c r="B51" s="8"/>
      <c r="C51" s="15" t="s">
        <v>25</v>
      </c>
      <c r="D51" s="10"/>
      <c r="E51" s="10"/>
      <c r="F51" s="11" t="str">
        <f aca="false">IF(D51=0,"",E51/D51)</f>
        <v/>
      </c>
      <c r="G51" s="12" t="str">
        <f aca="false">IF(F51="","",F51-0.85)</f>
        <v/>
      </c>
      <c r="H51" s="13" t="str">
        <f aca="false">IF(F51="","—",IF(F51&gt;=0.85,"On Target",IF(F51&gt;=0.75,"Monitor","Below Target")))</f>
        <v>—</v>
      </c>
      <c r="K51" s="23"/>
    </row>
    <row r="52" customFormat="false" ht="15" hidden="false" customHeight="false" outlineLevel="0" collapsed="false">
      <c r="A52" s="7" t="n">
        <v>47</v>
      </c>
      <c r="B52" s="8"/>
      <c r="C52" s="9" t="s">
        <v>27</v>
      </c>
      <c r="D52" s="10"/>
      <c r="E52" s="10"/>
      <c r="F52" s="11" t="str">
        <f aca="false">IF(D52=0,"",E52/D52)</f>
        <v/>
      </c>
      <c r="G52" s="12" t="str">
        <f aca="false">IF(F52="","",F52-0.85)</f>
        <v/>
      </c>
      <c r="H52" s="13" t="str">
        <f aca="false">IF(F52="","—",IF(F52&gt;=0.85,"On Target",IF(F52&gt;=0.75,"Monitor","Below Target")))</f>
        <v>—</v>
      </c>
      <c r="K52" s="23"/>
    </row>
    <row r="53" customFormat="false" ht="3.75" hidden="false" customHeight="true" outlineLevel="0" collapsed="false">
      <c r="A53" s="17"/>
      <c r="B53" s="17"/>
      <c r="C53" s="18" t="s">
        <v>28</v>
      </c>
      <c r="D53" s="19" t="n">
        <f aca="false">SUM(D48:D52)</f>
        <v>0</v>
      </c>
      <c r="E53" s="19" t="n">
        <f aca="false">SUM(E48:E52)</f>
        <v>0</v>
      </c>
      <c r="F53" s="20" t="str">
        <f aca="false">IF(D53=0,"",E53/D53)</f>
        <v/>
      </c>
      <c r="G53" s="21" t="str">
        <f aca="false">IF(F53="","",F53-0.85)</f>
        <v/>
      </c>
      <c r="H53" s="22" t="str">
        <f aca="false">IF(F53="","—",IF(F53&gt;=0.85,"On Target",IF(F53&gt;=0.75,"Monitor","Below Target")))</f>
        <v>—</v>
      </c>
      <c r="I53" s="17"/>
      <c r="J53" s="17"/>
      <c r="K53" s="17"/>
    </row>
    <row r="54" customFormat="false" ht="15" hidden="false" customHeight="false" outlineLevel="0" collapsed="false">
      <c r="A54" s="7" t="n">
        <v>49</v>
      </c>
      <c r="B54" s="8" t="s">
        <v>36</v>
      </c>
      <c r="C54" s="9" t="s">
        <v>21</v>
      </c>
      <c r="D54" s="10"/>
      <c r="E54" s="10"/>
      <c r="F54" s="11" t="str">
        <f aca="false">IF(D54=0,"",E54/D54)</f>
        <v/>
      </c>
      <c r="G54" s="12" t="str">
        <f aca="false">IF(F54="","",F54-0.85)</f>
        <v/>
      </c>
      <c r="H54" s="13" t="str">
        <f aca="false">IF(F54="","—",IF(F54&gt;=0.85,"On Target",IF(F54&gt;=0.75,"Monitor","Below Target")))</f>
        <v>—</v>
      </c>
      <c r="K54" s="23"/>
    </row>
    <row r="55" customFormat="false" ht="15" hidden="false" customHeight="false" outlineLevel="0" collapsed="false">
      <c r="A55" s="7" t="n">
        <v>50</v>
      </c>
      <c r="B55" s="8"/>
      <c r="C55" s="15" t="s">
        <v>23</v>
      </c>
      <c r="D55" s="10"/>
      <c r="E55" s="10"/>
      <c r="F55" s="11" t="str">
        <f aca="false">IF(D55=0,"",E55/D55)</f>
        <v/>
      </c>
      <c r="G55" s="12" t="str">
        <f aca="false">IF(F55="","",F55-0.85)</f>
        <v/>
      </c>
      <c r="H55" s="13" t="str">
        <f aca="false">IF(F55="","—",IF(F55&gt;=0.85,"On Target",IF(F55&gt;=0.75,"Monitor","Below Target")))</f>
        <v>—</v>
      </c>
      <c r="K55" s="23"/>
    </row>
    <row r="56" customFormat="false" ht="15" hidden="false" customHeight="false" outlineLevel="0" collapsed="false">
      <c r="A56" s="7" t="n">
        <v>51</v>
      </c>
      <c r="B56" s="8"/>
      <c r="C56" s="9" t="s">
        <v>24</v>
      </c>
      <c r="D56" s="10"/>
      <c r="E56" s="10"/>
      <c r="F56" s="11" t="str">
        <f aca="false">IF(D56=0,"",E56/D56)</f>
        <v/>
      </c>
      <c r="G56" s="12" t="str">
        <f aca="false">IF(F56="","",F56-0.85)</f>
        <v/>
      </c>
      <c r="H56" s="13" t="str">
        <f aca="false">IF(F56="","—",IF(F56&gt;=0.85,"On Target",IF(F56&gt;=0.75,"Monitor","Below Target")))</f>
        <v>—</v>
      </c>
      <c r="K56" s="23"/>
    </row>
    <row r="57" customFormat="false" ht="15" hidden="false" customHeight="false" outlineLevel="0" collapsed="false">
      <c r="A57" s="7" t="n">
        <v>52</v>
      </c>
      <c r="B57" s="8"/>
      <c r="C57" s="15" t="s">
        <v>25</v>
      </c>
      <c r="D57" s="10"/>
      <c r="E57" s="10"/>
      <c r="F57" s="11" t="str">
        <f aca="false">IF(D57=0,"",E57/D57)</f>
        <v/>
      </c>
      <c r="G57" s="12" t="str">
        <f aca="false">IF(F57="","",F57-0.85)</f>
        <v/>
      </c>
      <c r="H57" s="13" t="str">
        <f aca="false">IF(F57="","—",IF(F57&gt;=0.85,"On Target",IF(F57&gt;=0.75,"Monitor","Below Target")))</f>
        <v>—</v>
      </c>
      <c r="K57" s="23"/>
    </row>
    <row r="58" customFormat="false" ht="15" hidden="false" customHeight="false" outlineLevel="0" collapsed="false">
      <c r="A58" s="7" t="n">
        <v>53</v>
      </c>
      <c r="B58" s="8"/>
      <c r="C58" s="9" t="s">
        <v>27</v>
      </c>
      <c r="D58" s="10"/>
      <c r="E58" s="10"/>
      <c r="F58" s="11" t="str">
        <f aca="false">IF(D58=0,"",E58/D58)</f>
        <v/>
      </c>
      <c r="G58" s="12" t="str">
        <f aca="false">IF(F58="","",F58-0.85)</f>
        <v/>
      </c>
      <c r="H58" s="13" t="str">
        <f aca="false">IF(F58="","—",IF(F58&gt;=0.85,"On Target",IF(F58&gt;=0.75,"Monitor","Below Target")))</f>
        <v>—</v>
      </c>
      <c r="K58" s="23"/>
    </row>
    <row r="59" customFormat="false" ht="3.75" hidden="false" customHeight="true" outlineLevel="0" collapsed="false">
      <c r="A59" s="17"/>
      <c r="B59" s="17"/>
      <c r="C59" s="18" t="s">
        <v>28</v>
      </c>
      <c r="D59" s="19" t="n">
        <f aca="false">SUM(D54:D58)</f>
        <v>0</v>
      </c>
      <c r="E59" s="19" t="n">
        <f aca="false">SUM(E54:E58)</f>
        <v>0</v>
      </c>
      <c r="F59" s="20" t="str">
        <f aca="false">IF(D59=0,"",E59/D59)</f>
        <v/>
      </c>
      <c r="G59" s="21" t="str">
        <f aca="false">IF(F59="","",F59-0.85)</f>
        <v/>
      </c>
      <c r="H59" s="22" t="str">
        <f aca="false">IF(F59="","—",IF(F59&gt;=0.85,"On Target",IF(F59&gt;=0.75,"Monitor","Below Target")))</f>
        <v>—</v>
      </c>
      <c r="I59" s="17"/>
      <c r="J59" s="17"/>
      <c r="K59" s="17"/>
    </row>
    <row r="60" customFormat="false" ht="15" hidden="false" customHeight="false" outlineLevel="0" collapsed="false">
      <c r="A60" s="7" t="n">
        <v>55</v>
      </c>
      <c r="B60" s="8" t="s">
        <v>37</v>
      </c>
      <c r="C60" s="9" t="s">
        <v>21</v>
      </c>
      <c r="D60" s="10"/>
      <c r="E60" s="10"/>
      <c r="F60" s="11" t="str">
        <f aca="false">IF(D60=0,"",E60/D60)</f>
        <v/>
      </c>
      <c r="G60" s="12" t="str">
        <f aca="false">IF(F60="","",F60-0.85)</f>
        <v/>
      </c>
      <c r="H60" s="13" t="str">
        <f aca="false">IF(F60="","—",IF(F60&gt;=0.85,"On Target",IF(F60&gt;=0.75,"Monitor","Below Target")))</f>
        <v>—</v>
      </c>
      <c r="K60" s="23"/>
    </row>
    <row r="61" customFormat="false" ht="15" hidden="false" customHeight="false" outlineLevel="0" collapsed="false">
      <c r="A61" s="7" t="n">
        <v>56</v>
      </c>
      <c r="B61" s="8"/>
      <c r="C61" s="15" t="s">
        <v>23</v>
      </c>
      <c r="D61" s="10"/>
      <c r="E61" s="10"/>
      <c r="F61" s="11" t="str">
        <f aca="false">IF(D61=0,"",E61/D61)</f>
        <v/>
      </c>
      <c r="G61" s="12" t="str">
        <f aca="false">IF(F61="","",F61-0.85)</f>
        <v/>
      </c>
      <c r="H61" s="13" t="str">
        <f aca="false">IF(F61="","—",IF(F61&gt;=0.85,"On Target",IF(F61&gt;=0.75,"Monitor","Below Target")))</f>
        <v>—</v>
      </c>
      <c r="K61" s="23"/>
    </row>
    <row r="62" customFormat="false" ht="15" hidden="false" customHeight="false" outlineLevel="0" collapsed="false">
      <c r="A62" s="7" t="n">
        <v>57</v>
      </c>
      <c r="B62" s="8"/>
      <c r="C62" s="9" t="s">
        <v>24</v>
      </c>
      <c r="D62" s="10"/>
      <c r="E62" s="10"/>
      <c r="F62" s="11" t="str">
        <f aca="false">IF(D62=0,"",E62/D62)</f>
        <v/>
      </c>
      <c r="G62" s="12" t="str">
        <f aca="false">IF(F62="","",F62-0.85)</f>
        <v/>
      </c>
      <c r="H62" s="13" t="str">
        <f aca="false">IF(F62="","—",IF(F62&gt;=0.85,"On Target",IF(F62&gt;=0.75,"Monitor","Below Target")))</f>
        <v>—</v>
      </c>
      <c r="K62" s="23"/>
    </row>
    <row r="63" customFormat="false" ht="15" hidden="false" customHeight="false" outlineLevel="0" collapsed="false">
      <c r="A63" s="7" t="n">
        <v>58</v>
      </c>
      <c r="B63" s="8"/>
      <c r="C63" s="15" t="s">
        <v>25</v>
      </c>
      <c r="D63" s="10"/>
      <c r="E63" s="10"/>
      <c r="F63" s="11" t="str">
        <f aca="false">IF(D63=0,"",E63/D63)</f>
        <v/>
      </c>
      <c r="G63" s="12" t="str">
        <f aca="false">IF(F63="","",F63-0.85)</f>
        <v/>
      </c>
      <c r="H63" s="13" t="str">
        <f aca="false">IF(F63="","—",IF(F63&gt;=0.85,"On Target",IF(F63&gt;=0.75,"Monitor","Below Target")))</f>
        <v>—</v>
      </c>
      <c r="K63" s="23"/>
    </row>
    <row r="64" customFormat="false" ht="15" hidden="false" customHeight="false" outlineLevel="0" collapsed="false">
      <c r="A64" s="7" t="n">
        <v>59</v>
      </c>
      <c r="B64" s="8"/>
      <c r="C64" s="9" t="s">
        <v>27</v>
      </c>
      <c r="D64" s="10"/>
      <c r="E64" s="10"/>
      <c r="F64" s="11" t="str">
        <f aca="false">IF(D64=0,"",E64/D64)</f>
        <v/>
      </c>
      <c r="G64" s="12" t="str">
        <f aca="false">IF(F64="","",F64-0.85)</f>
        <v/>
      </c>
      <c r="H64" s="13" t="str">
        <f aca="false">IF(F64="","—",IF(F64&gt;=0.85,"On Target",IF(F64&gt;=0.75,"Monitor","Below Target")))</f>
        <v>—</v>
      </c>
      <c r="K64" s="23"/>
    </row>
    <row r="65" customFormat="false" ht="3.75" hidden="false" customHeight="true" outlineLevel="0" collapsed="false">
      <c r="A65" s="17"/>
      <c r="B65" s="17"/>
      <c r="C65" s="18" t="s">
        <v>28</v>
      </c>
      <c r="D65" s="19" t="n">
        <f aca="false">SUM(D60:D64)</f>
        <v>0</v>
      </c>
      <c r="E65" s="19" t="n">
        <f aca="false">SUM(E60:E64)</f>
        <v>0</v>
      </c>
      <c r="F65" s="20" t="str">
        <f aca="false">IF(D65=0,"",E65/D65)</f>
        <v/>
      </c>
      <c r="G65" s="21" t="str">
        <f aca="false">IF(F65="","",F65-0.85)</f>
        <v/>
      </c>
      <c r="H65" s="22" t="str">
        <f aca="false">IF(F65="","—",IF(F65&gt;=0.85,"On Target",IF(F65&gt;=0.75,"Monitor","Below Target")))</f>
        <v>—</v>
      </c>
      <c r="I65" s="17"/>
      <c r="J65" s="17"/>
      <c r="K65" s="17"/>
    </row>
    <row r="66" customFormat="false" ht="15" hidden="false" customHeight="false" outlineLevel="0" collapsed="false">
      <c r="A66" s="7" t="n">
        <v>61</v>
      </c>
      <c r="B66" s="8" t="s">
        <v>38</v>
      </c>
      <c r="C66" s="9" t="s">
        <v>21</v>
      </c>
      <c r="D66" s="10"/>
      <c r="E66" s="10"/>
      <c r="F66" s="11" t="str">
        <f aca="false">IF(D66=0,"",E66/D66)</f>
        <v/>
      </c>
      <c r="G66" s="12" t="str">
        <f aca="false">IF(F66="","",F66-0.85)</f>
        <v/>
      </c>
      <c r="H66" s="13" t="str">
        <f aca="false">IF(F66="","—",IF(F66&gt;=0.85,"On Target",IF(F66&gt;=0.75,"Monitor","Below Target")))</f>
        <v>—</v>
      </c>
      <c r="K66" s="23"/>
    </row>
    <row r="67" customFormat="false" ht="15" hidden="false" customHeight="false" outlineLevel="0" collapsed="false">
      <c r="A67" s="7" t="n">
        <v>62</v>
      </c>
      <c r="B67" s="8"/>
      <c r="C67" s="15" t="s">
        <v>23</v>
      </c>
      <c r="D67" s="10"/>
      <c r="E67" s="10"/>
      <c r="F67" s="11" t="str">
        <f aca="false">IF(D67=0,"",E67/D67)</f>
        <v/>
      </c>
      <c r="G67" s="12" t="str">
        <f aca="false">IF(F67="","",F67-0.85)</f>
        <v/>
      </c>
      <c r="H67" s="13" t="str">
        <f aca="false">IF(F67="","—",IF(F67&gt;=0.85,"On Target",IF(F67&gt;=0.75,"Monitor","Below Target")))</f>
        <v>—</v>
      </c>
      <c r="K67" s="23"/>
    </row>
    <row r="68" customFormat="false" ht="15" hidden="false" customHeight="false" outlineLevel="0" collapsed="false">
      <c r="A68" s="7" t="n">
        <v>63</v>
      </c>
      <c r="B68" s="8"/>
      <c r="C68" s="9" t="s">
        <v>24</v>
      </c>
      <c r="D68" s="10"/>
      <c r="E68" s="10"/>
      <c r="F68" s="11" t="str">
        <f aca="false">IF(D68=0,"",E68/D68)</f>
        <v/>
      </c>
      <c r="G68" s="12" t="str">
        <f aca="false">IF(F68="","",F68-0.85)</f>
        <v/>
      </c>
      <c r="H68" s="13" t="str">
        <f aca="false">IF(F68="","—",IF(F68&gt;=0.85,"On Target",IF(F68&gt;=0.75,"Monitor","Below Target")))</f>
        <v>—</v>
      </c>
      <c r="K68" s="23"/>
    </row>
    <row r="69" customFormat="false" ht="15" hidden="false" customHeight="false" outlineLevel="0" collapsed="false">
      <c r="A69" s="7" t="n">
        <v>64</v>
      </c>
      <c r="B69" s="8"/>
      <c r="C69" s="15" t="s">
        <v>25</v>
      </c>
      <c r="D69" s="10"/>
      <c r="E69" s="10"/>
      <c r="F69" s="11" t="str">
        <f aca="false">IF(D69=0,"",E69/D69)</f>
        <v/>
      </c>
      <c r="G69" s="12" t="str">
        <f aca="false">IF(F69="","",F69-0.85)</f>
        <v/>
      </c>
      <c r="H69" s="13" t="str">
        <f aca="false">IF(F69="","—",IF(F69&gt;=0.85,"On Target",IF(F69&gt;=0.75,"Monitor","Below Target")))</f>
        <v>—</v>
      </c>
      <c r="K69" s="23"/>
    </row>
    <row r="70" customFormat="false" ht="15" hidden="false" customHeight="false" outlineLevel="0" collapsed="false">
      <c r="A70" s="7" t="n">
        <v>65</v>
      </c>
      <c r="B70" s="8"/>
      <c r="C70" s="9" t="s">
        <v>27</v>
      </c>
      <c r="D70" s="10"/>
      <c r="E70" s="10"/>
      <c r="F70" s="11" t="str">
        <f aca="false">IF(D70=0,"",E70/D70)</f>
        <v/>
      </c>
      <c r="G70" s="12" t="str">
        <f aca="false">IF(F70="","",F70-0.85)</f>
        <v/>
      </c>
      <c r="H70" s="13" t="str">
        <f aca="false">IF(F70="","—",IF(F70&gt;=0.85,"On Target",IF(F70&gt;=0.75,"Monitor","Below Target")))</f>
        <v>—</v>
      </c>
      <c r="K70" s="23"/>
    </row>
    <row r="71" customFormat="false" ht="3.75" hidden="false" customHeight="true" outlineLevel="0" collapsed="false">
      <c r="A71" s="17"/>
      <c r="B71" s="17"/>
      <c r="C71" s="18" t="s">
        <v>28</v>
      </c>
      <c r="D71" s="19" t="n">
        <f aca="false">SUM(D66:D70)</f>
        <v>0</v>
      </c>
      <c r="E71" s="19" t="n">
        <f aca="false">SUM(E66:E70)</f>
        <v>0</v>
      </c>
      <c r="F71" s="20" t="str">
        <f aca="false">IF(D71=0,"",E71/D71)</f>
        <v/>
      </c>
      <c r="G71" s="21" t="str">
        <f aca="false">IF(F71="","",F71-0.85)</f>
        <v/>
      </c>
      <c r="H71" s="22" t="str">
        <f aca="false">IF(F71="","—",IF(F71&gt;=0.85,"On Target",IF(F71&gt;=0.75,"Monitor","Below Target")))</f>
        <v>—</v>
      </c>
      <c r="I71" s="17"/>
      <c r="J71" s="17"/>
      <c r="K71" s="17"/>
    </row>
    <row r="72" customFormat="false" ht="15" hidden="false" customHeight="false" outlineLevel="0" collapsed="false">
      <c r="A72" s="7" t="n">
        <v>67</v>
      </c>
      <c r="B72" s="8" t="s">
        <v>39</v>
      </c>
      <c r="C72" s="9" t="s">
        <v>21</v>
      </c>
      <c r="D72" s="10"/>
      <c r="E72" s="10"/>
      <c r="F72" s="11" t="str">
        <f aca="false">IF(D72=0,"",E72/D72)</f>
        <v/>
      </c>
      <c r="G72" s="12" t="str">
        <f aca="false">IF(F72="","",F72-0.85)</f>
        <v/>
      </c>
      <c r="H72" s="13" t="str">
        <f aca="false">IF(F72="","—",IF(F72&gt;=0.85,"On Target",IF(F72&gt;=0.75,"Monitor","Below Target")))</f>
        <v>—</v>
      </c>
      <c r="K72" s="23"/>
    </row>
    <row r="73" customFormat="false" ht="15" hidden="false" customHeight="false" outlineLevel="0" collapsed="false">
      <c r="A73" s="7" t="n">
        <v>68</v>
      </c>
      <c r="B73" s="8"/>
      <c r="C73" s="15" t="s">
        <v>23</v>
      </c>
      <c r="D73" s="10"/>
      <c r="E73" s="10"/>
      <c r="F73" s="11" t="str">
        <f aca="false">IF(D73=0,"",E73/D73)</f>
        <v/>
      </c>
      <c r="G73" s="12" t="str">
        <f aca="false">IF(F73="","",F73-0.85)</f>
        <v/>
      </c>
      <c r="H73" s="13" t="str">
        <f aca="false">IF(F73="","—",IF(F73&gt;=0.85,"On Target",IF(F73&gt;=0.75,"Monitor","Below Target")))</f>
        <v>—</v>
      </c>
      <c r="K73" s="23"/>
    </row>
    <row r="74" customFormat="false" ht="15" hidden="false" customHeight="false" outlineLevel="0" collapsed="false">
      <c r="A74" s="7" t="n">
        <v>69</v>
      </c>
      <c r="B74" s="8"/>
      <c r="C74" s="9" t="s">
        <v>24</v>
      </c>
      <c r="D74" s="10"/>
      <c r="E74" s="10"/>
      <c r="F74" s="11" t="str">
        <f aca="false">IF(D74=0,"",E74/D74)</f>
        <v/>
      </c>
      <c r="G74" s="12" t="str">
        <f aca="false">IF(F74="","",F74-0.85)</f>
        <v/>
      </c>
      <c r="H74" s="13" t="str">
        <f aca="false">IF(F74="","—",IF(F74&gt;=0.85,"On Target",IF(F74&gt;=0.75,"Monitor","Below Target")))</f>
        <v>—</v>
      </c>
      <c r="K74" s="23"/>
    </row>
    <row r="75" customFormat="false" ht="15" hidden="false" customHeight="false" outlineLevel="0" collapsed="false">
      <c r="A75" s="7" t="n">
        <v>70</v>
      </c>
      <c r="B75" s="8"/>
      <c r="C75" s="15" t="s">
        <v>25</v>
      </c>
      <c r="D75" s="10"/>
      <c r="E75" s="10"/>
      <c r="F75" s="11" t="str">
        <f aca="false">IF(D75=0,"",E75/D75)</f>
        <v/>
      </c>
      <c r="G75" s="12" t="str">
        <f aca="false">IF(F75="","",F75-0.85)</f>
        <v/>
      </c>
      <c r="H75" s="13" t="str">
        <f aca="false">IF(F75="","—",IF(F75&gt;=0.85,"On Target",IF(F75&gt;=0.75,"Monitor","Below Target")))</f>
        <v>—</v>
      </c>
      <c r="K75" s="23"/>
    </row>
    <row r="76" customFormat="false" ht="15" hidden="false" customHeight="false" outlineLevel="0" collapsed="false">
      <c r="A76" s="7" t="n">
        <v>71</v>
      </c>
      <c r="B76" s="8"/>
      <c r="C76" s="9" t="s">
        <v>27</v>
      </c>
      <c r="D76" s="10"/>
      <c r="E76" s="10"/>
      <c r="F76" s="11" t="str">
        <f aca="false">IF(D76=0,"",E76/D76)</f>
        <v/>
      </c>
      <c r="G76" s="12" t="str">
        <f aca="false">IF(F76="","",F76-0.85)</f>
        <v/>
      </c>
      <c r="H76" s="13" t="str">
        <f aca="false">IF(F76="","—",IF(F76&gt;=0.85,"On Target",IF(F76&gt;=0.75,"Monitor","Below Target")))</f>
        <v>—</v>
      </c>
      <c r="K76" s="23"/>
    </row>
    <row r="77" customFormat="false" ht="3.75" hidden="false" customHeight="true" outlineLevel="0" collapsed="false">
      <c r="A77" s="17"/>
      <c r="B77" s="17"/>
      <c r="C77" s="18" t="s">
        <v>28</v>
      </c>
      <c r="D77" s="19" t="n">
        <f aca="false">SUM(D72:D76)</f>
        <v>0</v>
      </c>
      <c r="E77" s="19" t="n">
        <f aca="false">SUM(E72:E76)</f>
        <v>0</v>
      </c>
      <c r="F77" s="20" t="str">
        <f aca="false">IF(D77=0,"",E77/D77)</f>
        <v/>
      </c>
      <c r="G77" s="21" t="str">
        <f aca="false">IF(F77="","",F77-0.85)</f>
        <v/>
      </c>
      <c r="H77" s="22" t="str">
        <f aca="false">IF(F77="","—",IF(F77&gt;=0.85,"On Target",IF(F77&gt;=0.75,"Monitor","Below Target")))</f>
        <v>—</v>
      </c>
      <c r="I77" s="17"/>
      <c r="J77" s="17"/>
      <c r="K77" s="17"/>
    </row>
    <row r="78" customFormat="false" ht="15" hidden="false" customHeight="false" outlineLevel="0" collapsed="false">
      <c r="A78" s="7" t="n">
        <v>73</v>
      </c>
      <c r="B78" s="8" t="s">
        <v>40</v>
      </c>
      <c r="C78" s="9" t="s">
        <v>21</v>
      </c>
      <c r="D78" s="10"/>
      <c r="E78" s="10"/>
      <c r="F78" s="11" t="str">
        <f aca="false">IF(D78=0,"",E78/D78)</f>
        <v/>
      </c>
      <c r="G78" s="12" t="str">
        <f aca="false">IF(F78="","",F78-0.85)</f>
        <v/>
      </c>
      <c r="H78" s="13" t="str">
        <f aca="false">IF(F78="","—",IF(F78&gt;=0.85,"On Target",IF(F78&gt;=0.75,"Monitor","Below Target")))</f>
        <v>—</v>
      </c>
      <c r="K78" s="23"/>
    </row>
    <row r="79" customFormat="false" ht="15" hidden="false" customHeight="false" outlineLevel="0" collapsed="false">
      <c r="A79" s="7" t="n">
        <v>74</v>
      </c>
      <c r="B79" s="8"/>
      <c r="C79" s="15" t="s">
        <v>23</v>
      </c>
      <c r="D79" s="10"/>
      <c r="E79" s="10"/>
      <c r="F79" s="11" t="str">
        <f aca="false">IF(D79=0,"",E79/D79)</f>
        <v/>
      </c>
      <c r="G79" s="12" t="str">
        <f aca="false">IF(F79="","",F79-0.85)</f>
        <v/>
      </c>
      <c r="H79" s="13" t="str">
        <f aca="false">IF(F79="","—",IF(F79&gt;=0.85,"On Target",IF(F79&gt;=0.75,"Monitor","Below Target")))</f>
        <v>—</v>
      </c>
      <c r="K79" s="23"/>
    </row>
    <row r="80" customFormat="false" ht="15" hidden="false" customHeight="false" outlineLevel="0" collapsed="false">
      <c r="A80" s="7" t="n">
        <v>75</v>
      </c>
      <c r="B80" s="8"/>
      <c r="C80" s="9" t="s">
        <v>24</v>
      </c>
      <c r="D80" s="10"/>
      <c r="E80" s="10"/>
      <c r="F80" s="11" t="str">
        <f aca="false">IF(D80=0,"",E80/D80)</f>
        <v/>
      </c>
      <c r="G80" s="12" t="str">
        <f aca="false">IF(F80="","",F80-0.85)</f>
        <v/>
      </c>
      <c r="H80" s="13" t="str">
        <f aca="false">IF(F80="","—",IF(F80&gt;=0.85,"On Target",IF(F80&gt;=0.75,"Monitor","Below Target")))</f>
        <v>—</v>
      </c>
      <c r="K80" s="23"/>
    </row>
    <row r="81" customFormat="false" ht="15" hidden="false" customHeight="false" outlineLevel="0" collapsed="false">
      <c r="A81" s="7" t="n">
        <v>76</v>
      </c>
      <c r="B81" s="8"/>
      <c r="C81" s="15" t="s">
        <v>25</v>
      </c>
      <c r="D81" s="10"/>
      <c r="E81" s="10"/>
      <c r="F81" s="11" t="str">
        <f aca="false">IF(D81=0,"",E81/D81)</f>
        <v/>
      </c>
      <c r="G81" s="12" t="str">
        <f aca="false">IF(F81="","",F81-0.85)</f>
        <v/>
      </c>
      <c r="H81" s="13" t="str">
        <f aca="false">IF(F81="","—",IF(F81&gt;=0.85,"On Target",IF(F81&gt;=0.75,"Monitor","Below Target")))</f>
        <v>—</v>
      </c>
      <c r="K81" s="23"/>
    </row>
    <row r="82" customFormat="false" ht="15" hidden="false" customHeight="false" outlineLevel="0" collapsed="false">
      <c r="A82" s="7" t="n">
        <v>77</v>
      </c>
      <c r="B82" s="8"/>
      <c r="C82" s="9" t="s">
        <v>27</v>
      </c>
      <c r="D82" s="10"/>
      <c r="E82" s="10"/>
      <c r="F82" s="11" t="str">
        <f aca="false">IF(D82=0,"",E82/D82)</f>
        <v/>
      </c>
      <c r="G82" s="12" t="str">
        <f aca="false">IF(F82="","",F82-0.85)</f>
        <v/>
      </c>
      <c r="H82" s="13" t="str">
        <f aca="false">IF(F82="","—",IF(F82&gt;=0.85,"On Target",IF(F82&gt;=0.75,"Monitor","Below Target")))</f>
        <v>—</v>
      </c>
      <c r="K82" s="23"/>
    </row>
    <row r="83" customFormat="false" ht="3.75" hidden="false" customHeight="true" outlineLevel="0" collapsed="false">
      <c r="A83" s="17"/>
      <c r="B83" s="17"/>
      <c r="C83" s="18" t="s">
        <v>28</v>
      </c>
      <c r="D83" s="19" t="n">
        <f aca="false">SUM(D78:D82)</f>
        <v>0</v>
      </c>
      <c r="E83" s="19" t="n">
        <f aca="false">SUM(E78:E82)</f>
        <v>0</v>
      </c>
      <c r="F83" s="20" t="str">
        <f aca="false">IF(D83=0,"",E83/D83)</f>
        <v/>
      </c>
      <c r="G83" s="21" t="str">
        <f aca="false">IF(F83="","",F83-0.85)</f>
        <v/>
      </c>
      <c r="H83" s="22" t="str">
        <f aca="false">IF(F83="","—",IF(F83&gt;=0.85,"On Target",IF(F83&gt;=0.75,"Monitor","Below Target")))</f>
        <v>—</v>
      </c>
      <c r="I83" s="17"/>
      <c r="J83" s="17"/>
      <c r="K83" s="17"/>
    </row>
    <row r="84" customFormat="false" ht="15" hidden="false" customHeight="false" outlineLevel="0" collapsed="false">
      <c r="A84" s="7" t="n">
        <v>79</v>
      </c>
      <c r="B84" s="8" t="s">
        <v>41</v>
      </c>
      <c r="C84" s="9" t="s">
        <v>21</v>
      </c>
      <c r="D84" s="10"/>
      <c r="E84" s="10"/>
      <c r="F84" s="11" t="str">
        <f aca="false">IF(D84=0,"",E84/D84)</f>
        <v/>
      </c>
      <c r="G84" s="12" t="str">
        <f aca="false">IF(F84="","",F84-0.85)</f>
        <v/>
      </c>
      <c r="H84" s="13" t="str">
        <f aca="false">IF(F84="","—",IF(F84&gt;=0.85,"On Target",IF(F84&gt;=0.75,"Monitor","Below Target")))</f>
        <v>—</v>
      </c>
      <c r="K84" s="23"/>
    </row>
    <row r="85" customFormat="false" ht="15" hidden="false" customHeight="false" outlineLevel="0" collapsed="false">
      <c r="A85" s="7" t="n">
        <v>80</v>
      </c>
      <c r="B85" s="8"/>
      <c r="C85" s="15" t="s">
        <v>23</v>
      </c>
      <c r="D85" s="10"/>
      <c r="E85" s="10"/>
      <c r="F85" s="11" t="str">
        <f aca="false">IF(D85=0,"",E85/D85)</f>
        <v/>
      </c>
      <c r="G85" s="12" t="str">
        <f aca="false">IF(F85="","",F85-0.85)</f>
        <v/>
      </c>
      <c r="H85" s="13" t="str">
        <f aca="false">IF(F85="","—",IF(F85&gt;=0.85,"On Target",IF(F85&gt;=0.75,"Monitor","Below Target")))</f>
        <v>—</v>
      </c>
      <c r="K85" s="23"/>
    </row>
    <row r="86" customFormat="false" ht="15" hidden="false" customHeight="false" outlineLevel="0" collapsed="false">
      <c r="A86" s="7" t="n">
        <v>81</v>
      </c>
      <c r="B86" s="8"/>
      <c r="C86" s="9" t="s">
        <v>24</v>
      </c>
      <c r="D86" s="10"/>
      <c r="E86" s="10"/>
      <c r="F86" s="11" t="str">
        <f aca="false">IF(D86=0,"",E86/D86)</f>
        <v/>
      </c>
      <c r="G86" s="12" t="str">
        <f aca="false">IF(F86="","",F86-0.85)</f>
        <v/>
      </c>
      <c r="H86" s="13" t="str">
        <f aca="false">IF(F86="","—",IF(F86&gt;=0.85,"On Target",IF(F86&gt;=0.75,"Monitor","Below Target")))</f>
        <v>—</v>
      </c>
      <c r="K86" s="23"/>
    </row>
    <row r="87" customFormat="false" ht="15" hidden="false" customHeight="false" outlineLevel="0" collapsed="false">
      <c r="A87" s="7" t="n">
        <v>82</v>
      </c>
      <c r="B87" s="8"/>
      <c r="C87" s="15" t="s">
        <v>25</v>
      </c>
      <c r="D87" s="10"/>
      <c r="E87" s="10"/>
      <c r="F87" s="11" t="str">
        <f aca="false">IF(D87=0,"",E87/D87)</f>
        <v/>
      </c>
      <c r="G87" s="12" t="str">
        <f aca="false">IF(F87="","",F87-0.85)</f>
        <v/>
      </c>
      <c r="H87" s="13" t="str">
        <f aca="false">IF(F87="","—",IF(F87&gt;=0.85,"On Target",IF(F87&gt;=0.75,"Monitor","Below Target")))</f>
        <v>—</v>
      </c>
      <c r="K87" s="23"/>
    </row>
    <row r="88" customFormat="false" ht="15" hidden="false" customHeight="false" outlineLevel="0" collapsed="false">
      <c r="A88" s="7" t="n">
        <v>83</v>
      </c>
      <c r="B88" s="8"/>
      <c r="C88" s="9" t="s">
        <v>27</v>
      </c>
      <c r="D88" s="10"/>
      <c r="E88" s="10"/>
      <c r="F88" s="11" t="str">
        <f aca="false">IF(D88=0,"",E88/D88)</f>
        <v/>
      </c>
      <c r="G88" s="12" t="str">
        <f aca="false">IF(F88="","",F88-0.85)</f>
        <v/>
      </c>
      <c r="H88" s="13" t="str">
        <f aca="false">IF(F88="","—",IF(F88&gt;=0.85,"On Target",IF(F88&gt;=0.75,"Monitor","Below Target")))</f>
        <v>—</v>
      </c>
      <c r="K88" s="23"/>
    </row>
    <row r="89" customFormat="false" ht="3.75" hidden="false" customHeight="true" outlineLevel="0" collapsed="false">
      <c r="A89" s="17"/>
      <c r="B89" s="17"/>
      <c r="C89" s="18" t="s">
        <v>28</v>
      </c>
      <c r="D89" s="19" t="n">
        <f aca="false">SUM(D84:D88)</f>
        <v>0</v>
      </c>
      <c r="E89" s="19" t="n">
        <f aca="false">SUM(E84:E88)</f>
        <v>0</v>
      </c>
      <c r="F89" s="20" t="str">
        <f aca="false">IF(D89=0,"",E89/D89)</f>
        <v/>
      </c>
      <c r="G89" s="21" t="str">
        <f aca="false">IF(F89="","",F89-0.85)</f>
        <v/>
      </c>
      <c r="H89" s="22" t="str">
        <f aca="false">IF(F89="","—",IF(F89&gt;=0.85,"On Target",IF(F89&gt;=0.75,"Monitor","Below Target")))</f>
        <v>—</v>
      </c>
      <c r="I89" s="17"/>
      <c r="J89" s="17"/>
      <c r="K89" s="17"/>
    </row>
    <row r="90" customFormat="false" ht="15" hidden="false" customHeight="false" outlineLevel="0" collapsed="false">
      <c r="A90" s="7" t="n">
        <v>85</v>
      </c>
      <c r="B90" s="8" t="s">
        <v>42</v>
      </c>
      <c r="C90" s="9" t="s">
        <v>21</v>
      </c>
      <c r="D90" s="10"/>
      <c r="E90" s="10"/>
      <c r="F90" s="11" t="str">
        <f aca="false">IF(D90=0,"",E90/D90)</f>
        <v/>
      </c>
      <c r="G90" s="12" t="str">
        <f aca="false">IF(F90="","",F90-0.85)</f>
        <v/>
      </c>
      <c r="H90" s="13" t="str">
        <f aca="false">IF(F90="","—",IF(F90&gt;=0.85,"On Target",IF(F90&gt;=0.75,"Monitor","Below Target")))</f>
        <v>—</v>
      </c>
      <c r="K90" s="23"/>
    </row>
    <row r="91" customFormat="false" ht="15" hidden="false" customHeight="false" outlineLevel="0" collapsed="false">
      <c r="A91" s="7" t="n">
        <v>86</v>
      </c>
      <c r="B91" s="8"/>
      <c r="C91" s="15" t="s">
        <v>23</v>
      </c>
      <c r="D91" s="10"/>
      <c r="E91" s="10"/>
      <c r="F91" s="11" t="str">
        <f aca="false">IF(D91=0,"",E91/D91)</f>
        <v/>
      </c>
      <c r="G91" s="12" t="str">
        <f aca="false">IF(F91="","",F91-0.85)</f>
        <v/>
      </c>
      <c r="H91" s="13" t="str">
        <f aca="false">IF(F91="","—",IF(F91&gt;=0.85,"On Target",IF(F91&gt;=0.75,"Monitor","Below Target")))</f>
        <v>—</v>
      </c>
      <c r="K91" s="23"/>
    </row>
    <row r="92" customFormat="false" ht="15" hidden="false" customHeight="false" outlineLevel="0" collapsed="false">
      <c r="A92" s="7" t="n">
        <v>87</v>
      </c>
      <c r="B92" s="8"/>
      <c r="C92" s="9" t="s">
        <v>24</v>
      </c>
      <c r="D92" s="10"/>
      <c r="E92" s="10"/>
      <c r="F92" s="11" t="str">
        <f aca="false">IF(D92=0,"",E92/D92)</f>
        <v/>
      </c>
      <c r="G92" s="12" t="str">
        <f aca="false">IF(F92="","",F92-0.85)</f>
        <v/>
      </c>
      <c r="H92" s="13" t="str">
        <f aca="false">IF(F92="","—",IF(F92&gt;=0.85,"On Target",IF(F92&gt;=0.75,"Monitor","Below Target")))</f>
        <v>—</v>
      </c>
      <c r="K92" s="23"/>
    </row>
    <row r="93" customFormat="false" ht="15" hidden="false" customHeight="false" outlineLevel="0" collapsed="false">
      <c r="A93" s="7" t="n">
        <v>88</v>
      </c>
      <c r="B93" s="8"/>
      <c r="C93" s="15" t="s">
        <v>25</v>
      </c>
      <c r="D93" s="10"/>
      <c r="E93" s="10"/>
      <c r="F93" s="11" t="str">
        <f aca="false">IF(D93=0,"",E93/D93)</f>
        <v/>
      </c>
      <c r="G93" s="12" t="str">
        <f aca="false">IF(F93="","",F93-0.85)</f>
        <v/>
      </c>
      <c r="H93" s="13" t="str">
        <f aca="false">IF(F93="","—",IF(F93&gt;=0.85,"On Target",IF(F93&gt;=0.75,"Monitor","Below Target")))</f>
        <v>—</v>
      </c>
      <c r="K93" s="23"/>
    </row>
    <row r="94" customFormat="false" ht="15" hidden="false" customHeight="false" outlineLevel="0" collapsed="false">
      <c r="A94" s="7" t="n">
        <v>89</v>
      </c>
      <c r="B94" s="8"/>
      <c r="C94" s="9" t="s">
        <v>27</v>
      </c>
      <c r="D94" s="10"/>
      <c r="E94" s="10"/>
      <c r="F94" s="11" t="str">
        <f aca="false">IF(D94=0,"",E94/D94)</f>
        <v/>
      </c>
      <c r="G94" s="12" t="str">
        <f aca="false">IF(F94="","",F94-0.85)</f>
        <v/>
      </c>
      <c r="H94" s="13" t="str">
        <f aca="false">IF(F94="","—",IF(F94&gt;=0.85,"On Target",IF(F94&gt;=0.75,"Monitor","Below Target")))</f>
        <v>—</v>
      </c>
      <c r="K94" s="23"/>
    </row>
    <row r="95" customFormat="false" ht="3.75" hidden="false" customHeight="true" outlineLevel="0" collapsed="false">
      <c r="A95" s="17"/>
      <c r="B95" s="17"/>
      <c r="C95" s="18" t="s">
        <v>28</v>
      </c>
      <c r="D95" s="19" t="n">
        <f aca="false">SUM(D90:D94)</f>
        <v>0</v>
      </c>
      <c r="E95" s="19" t="n">
        <f aca="false">SUM(E90:E94)</f>
        <v>0</v>
      </c>
      <c r="F95" s="20" t="str">
        <f aca="false">IF(D95=0,"",E95/D95)</f>
        <v/>
      </c>
      <c r="G95" s="21" t="str">
        <f aca="false">IF(F95="","",F95-0.85)</f>
        <v/>
      </c>
      <c r="H95" s="22" t="str">
        <f aca="false">IF(F95="","—",IF(F95&gt;=0.85,"On Target",IF(F95&gt;=0.75,"Monitor","Below Target")))</f>
        <v>—</v>
      </c>
      <c r="I95" s="17"/>
      <c r="J95" s="17"/>
      <c r="K95" s="17"/>
    </row>
    <row r="96" customFormat="false" ht="15" hidden="false" customHeight="false" outlineLevel="0" collapsed="false">
      <c r="A96" s="7" t="n">
        <v>91</v>
      </c>
      <c r="B96" s="8" t="s">
        <v>43</v>
      </c>
      <c r="C96" s="9" t="s">
        <v>21</v>
      </c>
      <c r="D96" s="10"/>
      <c r="E96" s="10"/>
      <c r="F96" s="11" t="str">
        <f aca="false">IF(D96=0,"",E96/D96)</f>
        <v/>
      </c>
      <c r="G96" s="12" t="str">
        <f aca="false">IF(F96="","",F96-0.85)</f>
        <v/>
      </c>
      <c r="H96" s="13" t="str">
        <f aca="false">IF(F96="","—",IF(F96&gt;=0.85,"On Target",IF(F96&gt;=0.75,"Monitor","Below Target")))</f>
        <v>—</v>
      </c>
      <c r="K96" s="23"/>
    </row>
    <row r="97" customFormat="false" ht="15" hidden="false" customHeight="false" outlineLevel="0" collapsed="false">
      <c r="A97" s="7" t="n">
        <v>92</v>
      </c>
      <c r="B97" s="8"/>
      <c r="C97" s="15" t="s">
        <v>23</v>
      </c>
      <c r="D97" s="10"/>
      <c r="E97" s="10"/>
      <c r="F97" s="11" t="str">
        <f aca="false">IF(D97=0,"",E97/D97)</f>
        <v/>
      </c>
      <c r="G97" s="12" t="str">
        <f aca="false">IF(F97="","",F97-0.85)</f>
        <v/>
      </c>
      <c r="H97" s="13" t="str">
        <f aca="false">IF(F97="","—",IF(F97&gt;=0.85,"On Target",IF(F97&gt;=0.75,"Monitor","Below Target")))</f>
        <v>—</v>
      </c>
      <c r="K97" s="23"/>
    </row>
    <row r="98" customFormat="false" ht="15" hidden="false" customHeight="false" outlineLevel="0" collapsed="false">
      <c r="A98" s="7" t="n">
        <v>93</v>
      </c>
      <c r="B98" s="8"/>
      <c r="C98" s="9" t="s">
        <v>24</v>
      </c>
      <c r="D98" s="10"/>
      <c r="E98" s="10"/>
      <c r="F98" s="11" t="str">
        <f aca="false">IF(D98=0,"",E98/D98)</f>
        <v/>
      </c>
      <c r="G98" s="12" t="str">
        <f aca="false">IF(F98="","",F98-0.85)</f>
        <v/>
      </c>
      <c r="H98" s="13" t="str">
        <f aca="false">IF(F98="","—",IF(F98&gt;=0.85,"On Target",IF(F98&gt;=0.75,"Monitor","Below Target")))</f>
        <v>—</v>
      </c>
      <c r="K98" s="23"/>
    </row>
    <row r="99" customFormat="false" ht="15" hidden="false" customHeight="false" outlineLevel="0" collapsed="false">
      <c r="A99" s="7" t="n">
        <v>94</v>
      </c>
      <c r="B99" s="8"/>
      <c r="C99" s="15" t="s">
        <v>25</v>
      </c>
      <c r="D99" s="10"/>
      <c r="E99" s="10"/>
      <c r="F99" s="11" t="str">
        <f aca="false">IF(D99=0,"",E99/D99)</f>
        <v/>
      </c>
      <c r="G99" s="12" t="str">
        <f aca="false">IF(F99="","",F99-0.85)</f>
        <v/>
      </c>
      <c r="H99" s="13" t="str">
        <f aca="false">IF(F99="","—",IF(F99&gt;=0.85,"On Target",IF(F99&gt;=0.75,"Monitor","Below Target")))</f>
        <v>—</v>
      </c>
      <c r="K99" s="23"/>
    </row>
    <row r="100" customFormat="false" ht="15" hidden="false" customHeight="false" outlineLevel="0" collapsed="false">
      <c r="A100" s="7" t="n">
        <v>95</v>
      </c>
      <c r="B100" s="8"/>
      <c r="C100" s="9" t="s">
        <v>27</v>
      </c>
      <c r="D100" s="10"/>
      <c r="E100" s="10"/>
      <c r="F100" s="11" t="str">
        <f aca="false">IF(D100=0,"",E100/D100)</f>
        <v/>
      </c>
      <c r="G100" s="12" t="str">
        <f aca="false">IF(F100="","",F100-0.85)</f>
        <v/>
      </c>
      <c r="H100" s="13" t="str">
        <f aca="false">IF(F100="","—",IF(F100&gt;=0.85,"On Target",IF(F100&gt;=0.75,"Monitor","Below Target")))</f>
        <v>—</v>
      </c>
      <c r="K100" s="23"/>
    </row>
    <row r="101" customFormat="false" ht="3.75" hidden="false" customHeight="true" outlineLevel="0" collapsed="false">
      <c r="A101" s="17"/>
      <c r="B101" s="17"/>
      <c r="C101" s="18" t="s">
        <v>28</v>
      </c>
      <c r="D101" s="19" t="n">
        <f aca="false">SUM(D96:D100)</f>
        <v>0</v>
      </c>
      <c r="E101" s="19" t="n">
        <f aca="false">SUM(E96:E100)</f>
        <v>0</v>
      </c>
      <c r="F101" s="20" t="str">
        <f aca="false">IF(D101=0,"",E101/D101)</f>
        <v/>
      </c>
      <c r="G101" s="21" t="str">
        <f aca="false">IF(F101="","",F101-0.85)</f>
        <v/>
      </c>
      <c r="H101" s="22" t="str">
        <f aca="false">IF(F101="","—",IF(F101&gt;=0.85,"On Target",IF(F101&gt;=0.75,"Monitor","Below Target")))</f>
        <v>—</v>
      </c>
      <c r="I101" s="17"/>
      <c r="J101" s="17"/>
      <c r="K101" s="17"/>
    </row>
    <row r="102" customFormat="false" ht="15" hidden="false" customHeight="false" outlineLevel="0" collapsed="false">
      <c r="A102" s="7" t="n">
        <v>97</v>
      </c>
      <c r="B102" s="8" t="s">
        <v>44</v>
      </c>
      <c r="C102" s="9" t="s">
        <v>21</v>
      </c>
      <c r="D102" s="10"/>
      <c r="E102" s="10"/>
      <c r="F102" s="11" t="str">
        <f aca="false">IF(D102=0,"",E102/D102)</f>
        <v/>
      </c>
      <c r="G102" s="12" t="str">
        <f aca="false">IF(F102="","",F102-0.85)</f>
        <v/>
      </c>
      <c r="H102" s="13" t="str">
        <f aca="false">IF(F102="","—",IF(F102&gt;=0.85,"On Target",IF(F102&gt;=0.75,"Monitor","Below Target")))</f>
        <v>—</v>
      </c>
      <c r="K102" s="23"/>
    </row>
    <row r="103" customFormat="false" ht="15" hidden="false" customHeight="false" outlineLevel="0" collapsed="false">
      <c r="A103" s="7" t="n">
        <v>98</v>
      </c>
      <c r="B103" s="8"/>
      <c r="C103" s="15" t="s">
        <v>23</v>
      </c>
      <c r="D103" s="10"/>
      <c r="E103" s="10"/>
      <c r="F103" s="11" t="str">
        <f aca="false">IF(D103=0,"",E103/D103)</f>
        <v/>
      </c>
      <c r="G103" s="12" t="str">
        <f aca="false">IF(F103="","",F103-0.85)</f>
        <v/>
      </c>
      <c r="H103" s="13" t="str">
        <f aca="false">IF(F103="","—",IF(F103&gt;=0.85,"On Target",IF(F103&gt;=0.75,"Monitor","Below Target")))</f>
        <v>—</v>
      </c>
      <c r="K103" s="23"/>
    </row>
    <row r="104" customFormat="false" ht="15" hidden="false" customHeight="false" outlineLevel="0" collapsed="false">
      <c r="A104" s="7" t="n">
        <v>99</v>
      </c>
      <c r="B104" s="8"/>
      <c r="C104" s="9" t="s">
        <v>24</v>
      </c>
      <c r="D104" s="10"/>
      <c r="E104" s="10"/>
      <c r="F104" s="11" t="str">
        <f aca="false">IF(D104=0,"",E104/D104)</f>
        <v/>
      </c>
      <c r="G104" s="12" t="str">
        <f aca="false">IF(F104="","",F104-0.85)</f>
        <v/>
      </c>
      <c r="H104" s="13" t="str">
        <f aca="false">IF(F104="","—",IF(F104&gt;=0.85,"On Target",IF(F104&gt;=0.75,"Monitor","Below Target")))</f>
        <v>—</v>
      </c>
      <c r="K104" s="23"/>
    </row>
    <row r="105" customFormat="false" ht="15" hidden="false" customHeight="false" outlineLevel="0" collapsed="false">
      <c r="A105" s="7" t="n">
        <v>100</v>
      </c>
      <c r="B105" s="8"/>
      <c r="C105" s="15" t="s">
        <v>25</v>
      </c>
      <c r="D105" s="10"/>
      <c r="E105" s="10"/>
      <c r="F105" s="11" t="str">
        <f aca="false">IF(D105=0,"",E105/D105)</f>
        <v/>
      </c>
      <c r="G105" s="12" t="str">
        <f aca="false">IF(F105="","",F105-0.85)</f>
        <v/>
      </c>
      <c r="H105" s="13" t="str">
        <f aca="false">IF(F105="","—",IF(F105&gt;=0.85,"On Target",IF(F105&gt;=0.75,"Monitor","Below Target")))</f>
        <v>—</v>
      </c>
      <c r="K105" s="23"/>
    </row>
    <row r="106" customFormat="false" ht="15" hidden="false" customHeight="false" outlineLevel="0" collapsed="false">
      <c r="A106" s="7" t="n">
        <v>101</v>
      </c>
      <c r="B106" s="8"/>
      <c r="C106" s="9" t="s">
        <v>27</v>
      </c>
      <c r="D106" s="10"/>
      <c r="E106" s="10"/>
      <c r="F106" s="11" t="str">
        <f aca="false">IF(D106=0,"",E106/D106)</f>
        <v/>
      </c>
      <c r="G106" s="12" t="str">
        <f aca="false">IF(F106="","",F106-0.85)</f>
        <v/>
      </c>
      <c r="H106" s="13" t="str">
        <f aca="false">IF(F106="","—",IF(F106&gt;=0.85,"On Target",IF(F106&gt;=0.75,"Monitor","Below Target")))</f>
        <v>—</v>
      </c>
      <c r="K106" s="23"/>
    </row>
    <row r="107" customFormat="false" ht="3.75" hidden="false" customHeight="true" outlineLevel="0" collapsed="false">
      <c r="A107" s="17"/>
      <c r="B107" s="17"/>
      <c r="C107" s="18" t="s">
        <v>28</v>
      </c>
      <c r="D107" s="19" t="n">
        <f aca="false">SUM(D102:D106)</f>
        <v>0</v>
      </c>
      <c r="E107" s="19" t="n">
        <f aca="false">SUM(E102:E106)</f>
        <v>0</v>
      </c>
      <c r="F107" s="20" t="str">
        <f aca="false">IF(D107=0,"",E107/D107)</f>
        <v/>
      </c>
      <c r="G107" s="21" t="str">
        <f aca="false">IF(F107="","",F107-0.85)</f>
        <v/>
      </c>
      <c r="H107" s="22" t="str">
        <f aca="false">IF(F107="","—",IF(F107&gt;=0.85,"On Target",IF(F107&gt;=0.75,"Monitor","Below Target")))</f>
        <v>—</v>
      </c>
      <c r="I107" s="17"/>
      <c r="J107" s="17"/>
      <c r="K107" s="17"/>
    </row>
    <row r="108" customFormat="false" ht="15" hidden="false" customHeight="false" outlineLevel="0" collapsed="false">
      <c r="A108" s="7" t="n">
        <v>103</v>
      </c>
      <c r="B108" s="8" t="s">
        <v>45</v>
      </c>
      <c r="C108" s="9" t="s">
        <v>21</v>
      </c>
      <c r="D108" s="10"/>
      <c r="E108" s="10"/>
      <c r="F108" s="11" t="str">
        <f aca="false">IF(D108=0,"",E108/D108)</f>
        <v/>
      </c>
      <c r="G108" s="12" t="str">
        <f aca="false">IF(F108="","",F108-0.85)</f>
        <v/>
      </c>
      <c r="H108" s="13" t="str">
        <f aca="false">IF(F108="","—",IF(F108&gt;=0.85,"On Target",IF(F108&gt;=0.75,"Monitor","Below Target")))</f>
        <v>—</v>
      </c>
      <c r="K108" s="23"/>
    </row>
    <row r="109" customFormat="false" ht="15" hidden="false" customHeight="false" outlineLevel="0" collapsed="false">
      <c r="A109" s="7" t="n">
        <v>104</v>
      </c>
      <c r="B109" s="8"/>
      <c r="C109" s="15" t="s">
        <v>23</v>
      </c>
      <c r="D109" s="10"/>
      <c r="E109" s="10"/>
      <c r="F109" s="11" t="str">
        <f aca="false">IF(D109=0,"",E109/D109)</f>
        <v/>
      </c>
      <c r="G109" s="12" t="str">
        <f aca="false">IF(F109="","",F109-0.85)</f>
        <v/>
      </c>
      <c r="H109" s="13" t="str">
        <f aca="false">IF(F109="","—",IF(F109&gt;=0.85,"On Target",IF(F109&gt;=0.75,"Monitor","Below Target")))</f>
        <v>—</v>
      </c>
      <c r="K109" s="23"/>
    </row>
    <row r="110" customFormat="false" ht="15" hidden="false" customHeight="false" outlineLevel="0" collapsed="false">
      <c r="A110" s="7" t="n">
        <v>105</v>
      </c>
      <c r="B110" s="8"/>
      <c r="C110" s="9" t="s">
        <v>24</v>
      </c>
      <c r="D110" s="10"/>
      <c r="E110" s="10"/>
      <c r="F110" s="11" t="str">
        <f aca="false">IF(D110=0,"",E110/D110)</f>
        <v/>
      </c>
      <c r="G110" s="12" t="str">
        <f aca="false">IF(F110="","",F110-0.85)</f>
        <v/>
      </c>
      <c r="H110" s="13" t="str">
        <f aca="false">IF(F110="","—",IF(F110&gt;=0.85,"On Target",IF(F110&gt;=0.75,"Monitor","Below Target")))</f>
        <v>—</v>
      </c>
      <c r="K110" s="23"/>
    </row>
    <row r="111" customFormat="false" ht="15" hidden="false" customHeight="false" outlineLevel="0" collapsed="false">
      <c r="A111" s="7" t="n">
        <v>106</v>
      </c>
      <c r="B111" s="8"/>
      <c r="C111" s="15" t="s">
        <v>25</v>
      </c>
      <c r="D111" s="10"/>
      <c r="E111" s="10"/>
      <c r="F111" s="11" t="str">
        <f aca="false">IF(D111=0,"",E111/D111)</f>
        <v/>
      </c>
      <c r="G111" s="12" t="str">
        <f aca="false">IF(F111="","",F111-0.85)</f>
        <v/>
      </c>
      <c r="H111" s="13" t="str">
        <f aca="false">IF(F111="","—",IF(F111&gt;=0.85,"On Target",IF(F111&gt;=0.75,"Monitor","Below Target")))</f>
        <v>—</v>
      </c>
      <c r="K111" s="23"/>
    </row>
    <row r="112" customFormat="false" ht="15" hidden="false" customHeight="false" outlineLevel="0" collapsed="false">
      <c r="A112" s="7" t="n">
        <v>107</v>
      </c>
      <c r="B112" s="8"/>
      <c r="C112" s="9" t="s">
        <v>27</v>
      </c>
      <c r="D112" s="10"/>
      <c r="E112" s="10"/>
      <c r="F112" s="11" t="str">
        <f aca="false">IF(D112=0,"",E112/D112)</f>
        <v/>
      </c>
      <c r="G112" s="12" t="str">
        <f aca="false">IF(F112="","",F112-0.85)</f>
        <v/>
      </c>
      <c r="H112" s="13" t="str">
        <f aca="false">IF(F112="","—",IF(F112&gt;=0.85,"On Target",IF(F112&gt;=0.75,"Monitor","Below Target")))</f>
        <v>—</v>
      </c>
      <c r="K112" s="23"/>
    </row>
    <row r="113" customFormat="false" ht="3.75" hidden="false" customHeight="true" outlineLevel="0" collapsed="false">
      <c r="A113" s="17"/>
      <c r="B113" s="17"/>
      <c r="C113" s="18" t="s">
        <v>28</v>
      </c>
      <c r="D113" s="19" t="n">
        <f aca="false">SUM(D108:D112)</f>
        <v>0</v>
      </c>
      <c r="E113" s="19" t="n">
        <f aca="false">SUM(E108:E112)</f>
        <v>0</v>
      </c>
      <c r="F113" s="20" t="str">
        <f aca="false">IF(D113=0,"",E113/D113)</f>
        <v/>
      </c>
      <c r="G113" s="21" t="str">
        <f aca="false">IF(F113="","",F113-0.85)</f>
        <v/>
      </c>
      <c r="H113" s="22" t="str">
        <f aca="false">IF(F113="","—",IF(F113&gt;=0.85,"On Target",IF(F113&gt;=0.75,"Monitor","Below Target")))</f>
        <v>—</v>
      </c>
      <c r="I113" s="17"/>
      <c r="J113" s="17"/>
      <c r="K113" s="17"/>
    </row>
    <row r="114" customFormat="false" ht="15" hidden="false" customHeight="false" outlineLevel="0" collapsed="false">
      <c r="A114" s="7" t="n">
        <v>109</v>
      </c>
      <c r="B114" s="8" t="s">
        <v>46</v>
      </c>
      <c r="C114" s="9" t="s">
        <v>21</v>
      </c>
      <c r="D114" s="10"/>
      <c r="E114" s="10"/>
      <c r="F114" s="11" t="str">
        <f aca="false">IF(D114=0,"",E114/D114)</f>
        <v/>
      </c>
      <c r="G114" s="12" t="str">
        <f aca="false">IF(F114="","",F114-0.85)</f>
        <v/>
      </c>
      <c r="H114" s="13" t="str">
        <f aca="false">IF(F114="","—",IF(F114&gt;=0.85,"On Target",IF(F114&gt;=0.75,"Monitor","Below Target")))</f>
        <v>—</v>
      </c>
      <c r="K114" s="23"/>
    </row>
    <row r="115" customFormat="false" ht="15" hidden="false" customHeight="false" outlineLevel="0" collapsed="false">
      <c r="A115" s="7" t="n">
        <v>110</v>
      </c>
      <c r="B115" s="8"/>
      <c r="C115" s="15" t="s">
        <v>23</v>
      </c>
      <c r="D115" s="10"/>
      <c r="E115" s="10"/>
      <c r="F115" s="11" t="str">
        <f aca="false">IF(D115=0,"",E115/D115)</f>
        <v/>
      </c>
      <c r="G115" s="12" t="str">
        <f aca="false">IF(F115="","",F115-0.85)</f>
        <v/>
      </c>
      <c r="H115" s="13" t="str">
        <f aca="false">IF(F115="","—",IF(F115&gt;=0.85,"On Target",IF(F115&gt;=0.75,"Monitor","Below Target")))</f>
        <v>—</v>
      </c>
      <c r="K115" s="23"/>
    </row>
    <row r="116" customFormat="false" ht="15" hidden="false" customHeight="false" outlineLevel="0" collapsed="false">
      <c r="A116" s="7" t="n">
        <v>111</v>
      </c>
      <c r="B116" s="8"/>
      <c r="C116" s="9" t="s">
        <v>24</v>
      </c>
      <c r="D116" s="10"/>
      <c r="E116" s="10"/>
      <c r="F116" s="11" t="str">
        <f aca="false">IF(D116=0,"",E116/D116)</f>
        <v/>
      </c>
      <c r="G116" s="12" t="str">
        <f aca="false">IF(F116="","",F116-0.85)</f>
        <v/>
      </c>
      <c r="H116" s="13" t="str">
        <f aca="false">IF(F116="","—",IF(F116&gt;=0.85,"On Target",IF(F116&gt;=0.75,"Monitor","Below Target")))</f>
        <v>—</v>
      </c>
      <c r="K116" s="23"/>
    </row>
    <row r="117" customFormat="false" ht="15" hidden="false" customHeight="false" outlineLevel="0" collapsed="false">
      <c r="A117" s="7" t="n">
        <v>112</v>
      </c>
      <c r="B117" s="8"/>
      <c r="C117" s="15" t="s">
        <v>25</v>
      </c>
      <c r="D117" s="10"/>
      <c r="E117" s="10"/>
      <c r="F117" s="11" t="str">
        <f aca="false">IF(D117=0,"",E117/D117)</f>
        <v/>
      </c>
      <c r="G117" s="12" t="str">
        <f aca="false">IF(F117="","",F117-0.85)</f>
        <v/>
      </c>
      <c r="H117" s="13" t="str">
        <f aca="false">IF(F117="","—",IF(F117&gt;=0.85,"On Target",IF(F117&gt;=0.75,"Monitor","Below Target")))</f>
        <v>—</v>
      </c>
      <c r="K117" s="23"/>
    </row>
    <row r="118" customFormat="false" ht="15" hidden="false" customHeight="false" outlineLevel="0" collapsed="false">
      <c r="A118" s="7" t="n">
        <v>113</v>
      </c>
      <c r="B118" s="8"/>
      <c r="C118" s="9" t="s">
        <v>27</v>
      </c>
      <c r="D118" s="10"/>
      <c r="E118" s="10"/>
      <c r="F118" s="11" t="str">
        <f aca="false">IF(D118=0,"",E118/D118)</f>
        <v/>
      </c>
      <c r="G118" s="12" t="str">
        <f aca="false">IF(F118="","",F118-0.85)</f>
        <v/>
      </c>
      <c r="H118" s="13" t="str">
        <f aca="false">IF(F118="","—",IF(F118&gt;=0.85,"On Target",IF(F118&gt;=0.75,"Monitor","Below Target")))</f>
        <v>—</v>
      </c>
      <c r="K118" s="23"/>
    </row>
    <row r="119" customFormat="false" ht="3.75" hidden="false" customHeight="true" outlineLevel="0" collapsed="false">
      <c r="A119" s="17"/>
      <c r="B119" s="17"/>
      <c r="C119" s="18" t="s">
        <v>28</v>
      </c>
      <c r="D119" s="19" t="n">
        <f aca="false">SUM(D114:D118)</f>
        <v>0</v>
      </c>
      <c r="E119" s="19" t="n">
        <f aca="false">SUM(E114:E118)</f>
        <v>0</v>
      </c>
      <c r="F119" s="20" t="str">
        <f aca="false">IF(D119=0,"",E119/D119)</f>
        <v/>
      </c>
      <c r="G119" s="21" t="str">
        <f aca="false">IF(F119="","",F119-0.85)</f>
        <v/>
      </c>
      <c r="H119" s="22" t="str">
        <f aca="false">IF(F119="","—",IF(F119&gt;=0.85,"On Target",IF(F119&gt;=0.75,"Monitor","Below Target")))</f>
        <v>—</v>
      </c>
      <c r="I119" s="17"/>
      <c r="J119" s="17"/>
      <c r="K119" s="17"/>
    </row>
    <row r="120" customFormat="false" ht="15" hidden="false" customHeight="false" outlineLevel="0" collapsed="false">
      <c r="A120" s="7" t="n">
        <v>115</v>
      </c>
      <c r="B120" s="8" t="s">
        <v>47</v>
      </c>
      <c r="C120" s="9" t="s">
        <v>21</v>
      </c>
      <c r="D120" s="10"/>
      <c r="E120" s="10"/>
      <c r="F120" s="11" t="str">
        <f aca="false">IF(D120=0,"",E120/D120)</f>
        <v/>
      </c>
      <c r="G120" s="12" t="str">
        <f aca="false">IF(F120="","",F120-0.85)</f>
        <v/>
      </c>
      <c r="H120" s="13" t="str">
        <f aca="false">IF(F120="","—",IF(F120&gt;=0.85,"On Target",IF(F120&gt;=0.75,"Monitor","Below Target")))</f>
        <v>—</v>
      </c>
      <c r="K120" s="23"/>
    </row>
    <row r="121" customFormat="false" ht="15" hidden="false" customHeight="false" outlineLevel="0" collapsed="false">
      <c r="A121" s="7" t="n">
        <v>116</v>
      </c>
      <c r="B121" s="8"/>
      <c r="C121" s="15" t="s">
        <v>23</v>
      </c>
      <c r="D121" s="10"/>
      <c r="E121" s="10"/>
      <c r="F121" s="11" t="str">
        <f aca="false">IF(D121=0,"",E121/D121)</f>
        <v/>
      </c>
      <c r="G121" s="12" t="str">
        <f aca="false">IF(F121="","",F121-0.85)</f>
        <v/>
      </c>
      <c r="H121" s="13" t="str">
        <f aca="false">IF(F121="","—",IF(F121&gt;=0.85,"On Target",IF(F121&gt;=0.75,"Monitor","Below Target")))</f>
        <v>—</v>
      </c>
      <c r="K121" s="23"/>
    </row>
    <row r="122" customFormat="false" ht="15" hidden="false" customHeight="false" outlineLevel="0" collapsed="false">
      <c r="A122" s="7" t="n">
        <v>117</v>
      </c>
      <c r="B122" s="8"/>
      <c r="C122" s="9" t="s">
        <v>24</v>
      </c>
      <c r="D122" s="10"/>
      <c r="E122" s="10"/>
      <c r="F122" s="11" t="str">
        <f aca="false">IF(D122=0,"",E122/D122)</f>
        <v/>
      </c>
      <c r="G122" s="12" t="str">
        <f aca="false">IF(F122="","",F122-0.85)</f>
        <v/>
      </c>
      <c r="H122" s="13" t="str">
        <f aca="false">IF(F122="","—",IF(F122&gt;=0.85,"On Target",IF(F122&gt;=0.75,"Monitor","Below Target")))</f>
        <v>—</v>
      </c>
      <c r="K122" s="23"/>
    </row>
    <row r="123" customFormat="false" ht="15" hidden="false" customHeight="false" outlineLevel="0" collapsed="false">
      <c r="A123" s="7" t="n">
        <v>118</v>
      </c>
      <c r="B123" s="8"/>
      <c r="C123" s="15" t="s">
        <v>25</v>
      </c>
      <c r="D123" s="10"/>
      <c r="E123" s="10"/>
      <c r="F123" s="11" t="str">
        <f aca="false">IF(D123=0,"",E123/D123)</f>
        <v/>
      </c>
      <c r="G123" s="12" t="str">
        <f aca="false">IF(F123="","",F123-0.85)</f>
        <v/>
      </c>
      <c r="H123" s="13" t="str">
        <f aca="false">IF(F123="","—",IF(F123&gt;=0.85,"On Target",IF(F123&gt;=0.75,"Monitor","Below Target")))</f>
        <v>—</v>
      </c>
      <c r="K123" s="23"/>
    </row>
    <row r="124" customFormat="false" ht="15" hidden="false" customHeight="false" outlineLevel="0" collapsed="false">
      <c r="A124" s="7" t="n">
        <v>119</v>
      </c>
      <c r="B124" s="8"/>
      <c r="C124" s="9" t="s">
        <v>27</v>
      </c>
      <c r="D124" s="10"/>
      <c r="E124" s="10"/>
      <c r="F124" s="11" t="str">
        <f aca="false">IF(D124=0,"",E124/D124)</f>
        <v/>
      </c>
      <c r="G124" s="12" t="str">
        <f aca="false">IF(F124="","",F124-0.85)</f>
        <v/>
      </c>
      <c r="H124" s="13" t="str">
        <f aca="false">IF(F124="","—",IF(F124&gt;=0.85,"On Target",IF(F124&gt;=0.75,"Monitor","Below Target")))</f>
        <v>—</v>
      </c>
      <c r="K124" s="23"/>
    </row>
    <row r="125" customFormat="false" ht="3.75" hidden="false" customHeight="true" outlineLevel="0" collapsed="false">
      <c r="A125" s="17"/>
      <c r="B125" s="17"/>
      <c r="C125" s="18" t="s">
        <v>28</v>
      </c>
      <c r="D125" s="19" t="n">
        <f aca="false">SUM(D120:D124)</f>
        <v>0</v>
      </c>
      <c r="E125" s="19" t="n">
        <f aca="false">SUM(E120:E124)</f>
        <v>0</v>
      </c>
      <c r="F125" s="20" t="str">
        <f aca="false">IF(D125=0,"",E125/D125)</f>
        <v/>
      </c>
      <c r="G125" s="21" t="str">
        <f aca="false">IF(F125="","",F125-0.85)</f>
        <v/>
      </c>
      <c r="H125" s="22" t="str">
        <f aca="false">IF(F125="","—",IF(F125&gt;=0.85,"On Target",IF(F125&gt;=0.75,"Monitor","Below Target")))</f>
        <v>—</v>
      </c>
      <c r="I125" s="17"/>
      <c r="J125" s="17"/>
      <c r="K125" s="17"/>
    </row>
    <row r="126" customFormat="false" ht="15" hidden="false" customHeight="false" outlineLevel="0" collapsed="false">
      <c r="A126" s="7" t="n">
        <v>121</v>
      </c>
      <c r="B126" s="8" t="s">
        <v>48</v>
      </c>
      <c r="C126" s="9" t="s">
        <v>21</v>
      </c>
      <c r="D126" s="10"/>
      <c r="E126" s="10"/>
      <c r="F126" s="11" t="str">
        <f aca="false">IF(D126=0,"",E126/D126)</f>
        <v/>
      </c>
      <c r="G126" s="12" t="str">
        <f aca="false">IF(F126="","",F126-0.85)</f>
        <v/>
      </c>
      <c r="H126" s="13" t="str">
        <f aca="false">IF(F126="","—",IF(F126&gt;=0.85,"On Target",IF(F126&gt;=0.75,"Monitor","Below Target")))</f>
        <v>—</v>
      </c>
      <c r="K126" s="23"/>
    </row>
    <row r="127" customFormat="false" ht="15" hidden="false" customHeight="false" outlineLevel="0" collapsed="false">
      <c r="A127" s="7" t="n">
        <v>122</v>
      </c>
      <c r="B127" s="8"/>
      <c r="C127" s="15" t="s">
        <v>23</v>
      </c>
      <c r="D127" s="10"/>
      <c r="E127" s="10"/>
      <c r="F127" s="11" t="str">
        <f aca="false">IF(D127=0,"",E127/D127)</f>
        <v/>
      </c>
      <c r="G127" s="12" t="str">
        <f aca="false">IF(F127="","",F127-0.85)</f>
        <v/>
      </c>
      <c r="H127" s="13" t="str">
        <f aca="false">IF(F127="","—",IF(F127&gt;=0.85,"On Target",IF(F127&gt;=0.75,"Monitor","Below Target")))</f>
        <v>—</v>
      </c>
      <c r="K127" s="23"/>
    </row>
    <row r="128" customFormat="false" ht="15" hidden="false" customHeight="false" outlineLevel="0" collapsed="false">
      <c r="A128" s="7" t="n">
        <v>123</v>
      </c>
      <c r="B128" s="8"/>
      <c r="C128" s="9" t="s">
        <v>24</v>
      </c>
      <c r="D128" s="10"/>
      <c r="E128" s="10"/>
      <c r="F128" s="11" t="str">
        <f aca="false">IF(D128=0,"",E128/D128)</f>
        <v/>
      </c>
      <c r="G128" s="12" t="str">
        <f aca="false">IF(F128="","",F128-0.85)</f>
        <v/>
      </c>
      <c r="H128" s="13" t="str">
        <f aca="false">IF(F128="","—",IF(F128&gt;=0.85,"On Target",IF(F128&gt;=0.75,"Monitor","Below Target")))</f>
        <v>—</v>
      </c>
      <c r="K128" s="23"/>
    </row>
    <row r="129" customFormat="false" ht="15" hidden="false" customHeight="false" outlineLevel="0" collapsed="false">
      <c r="A129" s="7" t="n">
        <v>124</v>
      </c>
      <c r="B129" s="8"/>
      <c r="C129" s="15" t="s">
        <v>25</v>
      </c>
      <c r="D129" s="10"/>
      <c r="E129" s="10"/>
      <c r="F129" s="11" t="str">
        <f aca="false">IF(D129=0,"",E129/D129)</f>
        <v/>
      </c>
      <c r="G129" s="12" t="str">
        <f aca="false">IF(F129="","",F129-0.85)</f>
        <v/>
      </c>
      <c r="H129" s="13" t="str">
        <f aca="false">IF(F129="","—",IF(F129&gt;=0.85,"On Target",IF(F129&gt;=0.75,"Monitor","Below Target")))</f>
        <v>—</v>
      </c>
      <c r="K129" s="23"/>
    </row>
    <row r="130" customFormat="false" ht="15" hidden="false" customHeight="false" outlineLevel="0" collapsed="false">
      <c r="A130" s="7" t="n">
        <v>125</v>
      </c>
      <c r="B130" s="8"/>
      <c r="C130" s="9" t="s">
        <v>27</v>
      </c>
      <c r="D130" s="10"/>
      <c r="E130" s="10"/>
      <c r="F130" s="11" t="str">
        <f aca="false">IF(D130=0,"",E130/D130)</f>
        <v/>
      </c>
      <c r="G130" s="12" t="str">
        <f aca="false">IF(F130="","",F130-0.85)</f>
        <v/>
      </c>
      <c r="H130" s="13" t="str">
        <f aca="false">IF(F130="","—",IF(F130&gt;=0.85,"On Target",IF(F130&gt;=0.75,"Monitor","Below Target")))</f>
        <v>—</v>
      </c>
      <c r="K130" s="23"/>
    </row>
    <row r="131" customFormat="false" ht="3.75" hidden="false" customHeight="true" outlineLevel="0" collapsed="false">
      <c r="A131" s="17"/>
      <c r="B131" s="17"/>
      <c r="C131" s="18" t="s">
        <v>28</v>
      </c>
      <c r="D131" s="19" t="n">
        <f aca="false">SUM(D126:D130)</f>
        <v>0</v>
      </c>
      <c r="E131" s="19" t="n">
        <f aca="false">SUM(E126:E130)</f>
        <v>0</v>
      </c>
      <c r="F131" s="20" t="str">
        <f aca="false">IF(D131=0,"",E131/D131)</f>
        <v/>
      </c>
      <c r="G131" s="21" t="str">
        <f aca="false">IF(F131="","",F131-0.85)</f>
        <v/>
      </c>
      <c r="H131" s="22" t="str">
        <f aca="false">IF(F131="","—",IF(F131&gt;=0.85,"On Target",IF(F131&gt;=0.75,"Monitor","Below Target")))</f>
        <v>—</v>
      </c>
      <c r="I131" s="17"/>
      <c r="J131" s="17"/>
      <c r="K131" s="17"/>
    </row>
    <row r="132" customFormat="false" ht="15" hidden="false" customHeight="false" outlineLevel="0" collapsed="false">
      <c r="A132" s="7" t="n">
        <v>127</v>
      </c>
      <c r="B132" s="8" t="s">
        <v>49</v>
      </c>
      <c r="C132" s="9" t="s">
        <v>21</v>
      </c>
      <c r="D132" s="10"/>
      <c r="E132" s="10"/>
      <c r="F132" s="11" t="str">
        <f aca="false">IF(D132=0,"",E132/D132)</f>
        <v/>
      </c>
      <c r="G132" s="12" t="str">
        <f aca="false">IF(F132="","",F132-0.85)</f>
        <v/>
      </c>
      <c r="H132" s="13" t="str">
        <f aca="false">IF(F132="","—",IF(F132&gt;=0.85,"On Target",IF(F132&gt;=0.75,"Monitor","Below Target")))</f>
        <v>—</v>
      </c>
      <c r="K132" s="23"/>
    </row>
    <row r="133" customFormat="false" ht="15" hidden="false" customHeight="false" outlineLevel="0" collapsed="false">
      <c r="A133" s="7" t="n">
        <v>128</v>
      </c>
      <c r="B133" s="8"/>
      <c r="C133" s="15" t="s">
        <v>23</v>
      </c>
      <c r="D133" s="10"/>
      <c r="E133" s="10"/>
      <c r="F133" s="11" t="str">
        <f aca="false">IF(D133=0,"",E133/D133)</f>
        <v/>
      </c>
      <c r="G133" s="12" t="str">
        <f aca="false">IF(F133="","",F133-0.85)</f>
        <v/>
      </c>
      <c r="H133" s="13" t="str">
        <f aca="false">IF(F133="","—",IF(F133&gt;=0.85,"On Target",IF(F133&gt;=0.75,"Monitor","Below Target")))</f>
        <v>—</v>
      </c>
      <c r="K133" s="23"/>
    </row>
    <row r="134" customFormat="false" ht="15" hidden="false" customHeight="false" outlineLevel="0" collapsed="false">
      <c r="A134" s="7" t="n">
        <v>129</v>
      </c>
      <c r="B134" s="8"/>
      <c r="C134" s="9" t="s">
        <v>24</v>
      </c>
      <c r="D134" s="10"/>
      <c r="E134" s="10"/>
      <c r="F134" s="11" t="str">
        <f aca="false">IF(D134=0,"",E134/D134)</f>
        <v/>
      </c>
      <c r="G134" s="12" t="str">
        <f aca="false">IF(F134="","",F134-0.85)</f>
        <v/>
      </c>
      <c r="H134" s="13" t="str">
        <f aca="false">IF(F134="","—",IF(F134&gt;=0.85,"On Target",IF(F134&gt;=0.75,"Monitor","Below Target")))</f>
        <v>—</v>
      </c>
      <c r="K134" s="23"/>
    </row>
    <row r="135" customFormat="false" ht="15" hidden="false" customHeight="false" outlineLevel="0" collapsed="false">
      <c r="A135" s="7" t="n">
        <v>130</v>
      </c>
      <c r="B135" s="8"/>
      <c r="C135" s="15" t="s">
        <v>25</v>
      </c>
      <c r="D135" s="10"/>
      <c r="E135" s="10"/>
      <c r="F135" s="11" t="str">
        <f aca="false">IF(D135=0,"",E135/D135)</f>
        <v/>
      </c>
      <c r="G135" s="12" t="str">
        <f aca="false">IF(F135="","",F135-0.85)</f>
        <v/>
      </c>
      <c r="H135" s="13" t="str">
        <f aca="false">IF(F135="","—",IF(F135&gt;=0.85,"On Target",IF(F135&gt;=0.75,"Monitor","Below Target")))</f>
        <v>—</v>
      </c>
      <c r="K135" s="23"/>
    </row>
    <row r="136" customFormat="false" ht="15" hidden="false" customHeight="false" outlineLevel="0" collapsed="false">
      <c r="A136" s="7" t="n">
        <v>131</v>
      </c>
      <c r="B136" s="8"/>
      <c r="C136" s="9" t="s">
        <v>27</v>
      </c>
      <c r="D136" s="10"/>
      <c r="E136" s="10"/>
      <c r="F136" s="11" t="str">
        <f aca="false">IF(D136=0,"",E136/D136)</f>
        <v/>
      </c>
      <c r="G136" s="12" t="str">
        <f aca="false">IF(F136="","",F136-0.85)</f>
        <v/>
      </c>
      <c r="H136" s="13" t="str">
        <f aca="false">IF(F136="","—",IF(F136&gt;=0.85,"On Target",IF(F136&gt;=0.75,"Monitor","Below Target")))</f>
        <v>—</v>
      </c>
      <c r="K136" s="23"/>
    </row>
    <row r="137" customFormat="false" ht="3.75" hidden="false" customHeight="true" outlineLevel="0" collapsed="false">
      <c r="A137" s="17"/>
      <c r="B137" s="17"/>
      <c r="C137" s="18" t="s">
        <v>28</v>
      </c>
      <c r="D137" s="19" t="n">
        <f aca="false">SUM(D132:D136)</f>
        <v>0</v>
      </c>
      <c r="E137" s="19" t="n">
        <f aca="false">SUM(E132:E136)</f>
        <v>0</v>
      </c>
      <c r="F137" s="20" t="str">
        <f aca="false">IF(D137=0,"",E137/D137)</f>
        <v/>
      </c>
      <c r="G137" s="21" t="str">
        <f aca="false">IF(F137="","",F137-0.85)</f>
        <v/>
      </c>
      <c r="H137" s="22" t="str">
        <f aca="false">IF(F137="","—",IF(F137&gt;=0.85,"On Target",IF(F137&gt;=0.75,"Monitor","Below Target")))</f>
        <v>—</v>
      </c>
      <c r="I137" s="17"/>
      <c r="J137" s="17"/>
      <c r="K137" s="17"/>
    </row>
    <row r="138" customFormat="false" ht="15" hidden="false" customHeight="false" outlineLevel="0" collapsed="false">
      <c r="A138" s="7" t="n">
        <v>133</v>
      </c>
      <c r="B138" s="8" t="s">
        <v>50</v>
      </c>
      <c r="C138" s="9" t="s">
        <v>21</v>
      </c>
      <c r="D138" s="10"/>
      <c r="E138" s="10"/>
      <c r="F138" s="11" t="str">
        <f aca="false">IF(D138=0,"",E138/D138)</f>
        <v/>
      </c>
      <c r="G138" s="12" t="str">
        <f aca="false">IF(F138="","",F138-0.85)</f>
        <v/>
      </c>
      <c r="H138" s="13" t="str">
        <f aca="false">IF(F138="","—",IF(F138&gt;=0.85,"On Target",IF(F138&gt;=0.75,"Monitor","Below Target")))</f>
        <v>—</v>
      </c>
      <c r="K138" s="23"/>
    </row>
    <row r="139" customFormat="false" ht="15" hidden="false" customHeight="false" outlineLevel="0" collapsed="false">
      <c r="A139" s="7" t="n">
        <v>134</v>
      </c>
      <c r="B139" s="8"/>
      <c r="C139" s="15" t="s">
        <v>23</v>
      </c>
      <c r="D139" s="10"/>
      <c r="E139" s="10"/>
      <c r="F139" s="11" t="str">
        <f aca="false">IF(D139=0,"",E139/D139)</f>
        <v/>
      </c>
      <c r="G139" s="12" t="str">
        <f aca="false">IF(F139="","",F139-0.85)</f>
        <v/>
      </c>
      <c r="H139" s="13" t="str">
        <f aca="false">IF(F139="","—",IF(F139&gt;=0.85,"On Target",IF(F139&gt;=0.75,"Monitor","Below Target")))</f>
        <v>—</v>
      </c>
      <c r="K139" s="23"/>
    </row>
    <row r="140" customFormat="false" ht="15" hidden="false" customHeight="false" outlineLevel="0" collapsed="false">
      <c r="A140" s="7" t="n">
        <v>135</v>
      </c>
      <c r="B140" s="8"/>
      <c r="C140" s="9" t="s">
        <v>24</v>
      </c>
      <c r="D140" s="10"/>
      <c r="E140" s="10"/>
      <c r="F140" s="11" t="str">
        <f aca="false">IF(D140=0,"",E140/D140)</f>
        <v/>
      </c>
      <c r="G140" s="12" t="str">
        <f aca="false">IF(F140="","",F140-0.85)</f>
        <v/>
      </c>
      <c r="H140" s="13" t="str">
        <f aca="false">IF(F140="","—",IF(F140&gt;=0.85,"On Target",IF(F140&gt;=0.75,"Monitor","Below Target")))</f>
        <v>—</v>
      </c>
      <c r="K140" s="23"/>
    </row>
    <row r="141" customFormat="false" ht="15" hidden="false" customHeight="false" outlineLevel="0" collapsed="false">
      <c r="A141" s="7" t="n">
        <v>136</v>
      </c>
      <c r="B141" s="8"/>
      <c r="C141" s="15" t="s">
        <v>25</v>
      </c>
      <c r="D141" s="10"/>
      <c r="E141" s="10"/>
      <c r="F141" s="11" t="str">
        <f aca="false">IF(D141=0,"",E141/D141)</f>
        <v/>
      </c>
      <c r="G141" s="12" t="str">
        <f aca="false">IF(F141="","",F141-0.85)</f>
        <v/>
      </c>
      <c r="H141" s="13" t="str">
        <f aca="false">IF(F141="","—",IF(F141&gt;=0.85,"On Target",IF(F141&gt;=0.75,"Monitor","Below Target")))</f>
        <v>—</v>
      </c>
      <c r="K141" s="23"/>
    </row>
    <row r="142" customFormat="false" ht="15" hidden="false" customHeight="false" outlineLevel="0" collapsed="false">
      <c r="A142" s="7" t="n">
        <v>137</v>
      </c>
      <c r="B142" s="8"/>
      <c r="C142" s="9" t="s">
        <v>27</v>
      </c>
      <c r="D142" s="10"/>
      <c r="E142" s="10"/>
      <c r="F142" s="11" t="str">
        <f aca="false">IF(D142=0,"",E142/D142)</f>
        <v/>
      </c>
      <c r="G142" s="12" t="str">
        <f aca="false">IF(F142="","",F142-0.85)</f>
        <v/>
      </c>
      <c r="H142" s="13" t="str">
        <f aca="false">IF(F142="","—",IF(F142&gt;=0.85,"On Target",IF(F142&gt;=0.75,"Monitor","Below Target")))</f>
        <v>—</v>
      </c>
      <c r="K142" s="23"/>
    </row>
    <row r="143" customFormat="false" ht="3.75" hidden="false" customHeight="true" outlineLevel="0" collapsed="false">
      <c r="A143" s="17"/>
      <c r="B143" s="17"/>
      <c r="C143" s="18" t="s">
        <v>28</v>
      </c>
      <c r="D143" s="19" t="n">
        <f aca="false">SUM(D138:D142)</f>
        <v>0</v>
      </c>
      <c r="E143" s="19" t="n">
        <f aca="false">SUM(E138:E142)</f>
        <v>0</v>
      </c>
      <c r="F143" s="20" t="str">
        <f aca="false">IF(D143=0,"",E143/D143)</f>
        <v/>
      </c>
      <c r="G143" s="21" t="str">
        <f aca="false">IF(F143="","",F143-0.85)</f>
        <v/>
      </c>
      <c r="H143" s="22" t="str">
        <f aca="false">IF(F143="","—",IF(F143&gt;=0.85,"On Target",IF(F143&gt;=0.75,"Monitor","Below Target")))</f>
        <v>—</v>
      </c>
      <c r="I143" s="17"/>
      <c r="J143" s="17"/>
      <c r="K143" s="17"/>
    </row>
    <row r="144" customFormat="false" ht="15" hidden="false" customHeight="false" outlineLevel="0" collapsed="false">
      <c r="A144" s="7" t="n">
        <v>139</v>
      </c>
      <c r="B144" s="8" t="s">
        <v>51</v>
      </c>
      <c r="C144" s="9" t="s">
        <v>21</v>
      </c>
      <c r="D144" s="10"/>
      <c r="E144" s="10"/>
      <c r="F144" s="11" t="str">
        <f aca="false">IF(D144=0,"",E144/D144)</f>
        <v/>
      </c>
      <c r="G144" s="12" t="str">
        <f aca="false">IF(F144="","",F144-0.85)</f>
        <v/>
      </c>
      <c r="H144" s="13" t="str">
        <f aca="false">IF(F144="","—",IF(F144&gt;=0.85,"On Target",IF(F144&gt;=0.75,"Monitor","Below Target")))</f>
        <v>—</v>
      </c>
      <c r="K144" s="23"/>
    </row>
    <row r="145" customFormat="false" ht="15" hidden="false" customHeight="false" outlineLevel="0" collapsed="false">
      <c r="A145" s="7" t="n">
        <v>140</v>
      </c>
      <c r="B145" s="8"/>
      <c r="C145" s="15" t="s">
        <v>23</v>
      </c>
      <c r="D145" s="10"/>
      <c r="E145" s="10"/>
      <c r="F145" s="11" t="str">
        <f aca="false">IF(D145=0,"",E145/D145)</f>
        <v/>
      </c>
      <c r="G145" s="12" t="str">
        <f aca="false">IF(F145="","",F145-0.85)</f>
        <v/>
      </c>
      <c r="H145" s="13" t="str">
        <f aca="false">IF(F145="","—",IF(F145&gt;=0.85,"On Target",IF(F145&gt;=0.75,"Monitor","Below Target")))</f>
        <v>—</v>
      </c>
      <c r="K145" s="23"/>
    </row>
    <row r="146" customFormat="false" ht="15" hidden="false" customHeight="false" outlineLevel="0" collapsed="false">
      <c r="A146" s="7" t="n">
        <v>141</v>
      </c>
      <c r="B146" s="8"/>
      <c r="C146" s="9" t="s">
        <v>24</v>
      </c>
      <c r="D146" s="10"/>
      <c r="E146" s="10"/>
      <c r="F146" s="11" t="str">
        <f aca="false">IF(D146=0,"",E146/D146)</f>
        <v/>
      </c>
      <c r="G146" s="12" t="str">
        <f aca="false">IF(F146="","",F146-0.85)</f>
        <v/>
      </c>
      <c r="H146" s="13" t="str">
        <f aca="false">IF(F146="","—",IF(F146&gt;=0.85,"On Target",IF(F146&gt;=0.75,"Monitor","Below Target")))</f>
        <v>—</v>
      </c>
      <c r="K146" s="23"/>
    </row>
    <row r="147" customFormat="false" ht="15" hidden="false" customHeight="false" outlineLevel="0" collapsed="false">
      <c r="A147" s="7" t="n">
        <v>142</v>
      </c>
      <c r="B147" s="8"/>
      <c r="C147" s="15" t="s">
        <v>25</v>
      </c>
      <c r="D147" s="10"/>
      <c r="E147" s="10"/>
      <c r="F147" s="11" t="str">
        <f aca="false">IF(D147=0,"",E147/D147)</f>
        <v/>
      </c>
      <c r="G147" s="12" t="str">
        <f aca="false">IF(F147="","",F147-0.85)</f>
        <v/>
      </c>
      <c r="H147" s="13" t="str">
        <f aca="false">IF(F147="","—",IF(F147&gt;=0.85,"On Target",IF(F147&gt;=0.75,"Monitor","Below Target")))</f>
        <v>—</v>
      </c>
      <c r="K147" s="23"/>
    </row>
    <row r="148" customFormat="false" ht="15" hidden="false" customHeight="false" outlineLevel="0" collapsed="false">
      <c r="A148" s="7" t="n">
        <v>143</v>
      </c>
      <c r="B148" s="8"/>
      <c r="C148" s="9" t="s">
        <v>27</v>
      </c>
      <c r="D148" s="10"/>
      <c r="E148" s="10"/>
      <c r="F148" s="11" t="str">
        <f aca="false">IF(D148=0,"",E148/D148)</f>
        <v/>
      </c>
      <c r="G148" s="12" t="str">
        <f aca="false">IF(F148="","",F148-0.85)</f>
        <v/>
      </c>
      <c r="H148" s="13" t="str">
        <f aca="false">IF(F148="","—",IF(F148&gt;=0.85,"On Target",IF(F148&gt;=0.75,"Monitor","Below Target")))</f>
        <v>—</v>
      </c>
      <c r="K148" s="23"/>
    </row>
    <row r="149" customFormat="false" ht="3.75" hidden="false" customHeight="true" outlineLevel="0" collapsed="false">
      <c r="A149" s="17"/>
      <c r="B149" s="17"/>
      <c r="C149" s="18" t="s">
        <v>28</v>
      </c>
      <c r="D149" s="19" t="n">
        <f aca="false">SUM(D144:D148)</f>
        <v>0</v>
      </c>
      <c r="E149" s="19" t="n">
        <f aca="false">SUM(E144:E148)</f>
        <v>0</v>
      </c>
      <c r="F149" s="20" t="str">
        <f aca="false">IF(D149=0,"",E149/D149)</f>
        <v/>
      </c>
      <c r="G149" s="21" t="str">
        <f aca="false">IF(F149="","",F149-0.85)</f>
        <v/>
      </c>
      <c r="H149" s="22" t="str">
        <f aca="false">IF(F149="","—",IF(F149&gt;=0.85,"On Target",IF(F149&gt;=0.75,"Monitor","Below Target")))</f>
        <v>—</v>
      </c>
      <c r="I149" s="17"/>
      <c r="J149" s="17"/>
      <c r="K149" s="17"/>
    </row>
    <row r="150" customFormat="false" ht="15" hidden="false" customHeight="false" outlineLevel="0" collapsed="false">
      <c r="A150" s="7" t="n">
        <v>145</v>
      </c>
      <c r="B150" s="8" t="s">
        <v>52</v>
      </c>
      <c r="C150" s="9" t="s">
        <v>21</v>
      </c>
      <c r="D150" s="10"/>
      <c r="E150" s="10"/>
      <c r="F150" s="11" t="str">
        <f aca="false">IF(D150=0,"",E150/D150)</f>
        <v/>
      </c>
      <c r="G150" s="12" t="str">
        <f aca="false">IF(F150="","",F150-0.85)</f>
        <v/>
      </c>
      <c r="H150" s="13" t="str">
        <f aca="false">IF(F150="","—",IF(F150&gt;=0.85,"On Target",IF(F150&gt;=0.75,"Monitor","Below Target")))</f>
        <v>—</v>
      </c>
      <c r="K150" s="23"/>
    </row>
    <row r="151" customFormat="false" ht="15" hidden="false" customHeight="false" outlineLevel="0" collapsed="false">
      <c r="A151" s="7" t="n">
        <v>146</v>
      </c>
      <c r="B151" s="8"/>
      <c r="C151" s="15" t="s">
        <v>23</v>
      </c>
      <c r="D151" s="10"/>
      <c r="E151" s="10"/>
      <c r="F151" s="11" t="str">
        <f aca="false">IF(D151=0,"",E151/D151)</f>
        <v/>
      </c>
      <c r="G151" s="12" t="str">
        <f aca="false">IF(F151="","",F151-0.85)</f>
        <v/>
      </c>
      <c r="H151" s="13" t="str">
        <f aca="false">IF(F151="","—",IF(F151&gt;=0.85,"On Target",IF(F151&gt;=0.75,"Monitor","Below Target")))</f>
        <v>—</v>
      </c>
      <c r="K151" s="23"/>
    </row>
    <row r="152" customFormat="false" ht="15" hidden="false" customHeight="false" outlineLevel="0" collapsed="false">
      <c r="A152" s="7" t="n">
        <v>147</v>
      </c>
      <c r="B152" s="8"/>
      <c r="C152" s="9" t="s">
        <v>24</v>
      </c>
      <c r="D152" s="10"/>
      <c r="E152" s="10"/>
      <c r="F152" s="11" t="str">
        <f aca="false">IF(D152=0,"",E152/D152)</f>
        <v/>
      </c>
      <c r="G152" s="12" t="str">
        <f aca="false">IF(F152="","",F152-0.85)</f>
        <v/>
      </c>
      <c r="H152" s="13" t="str">
        <f aca="false">IF(F152="","—",IF(F152&gt;=0.85,"On Target",IF(F152&gt;=0.75,"Monitor","Below Target")))</f>
        <v>—</v>
      </c>
      <c r="K152" s="23"/>
    </row>
    <row r="153" customFormat="false" ht="15" hidden="false" customHeight="false" outlineLevel="0" collapsed="false">
      <c r="A153" s="7" t="n">
        <v>148</v>
      </c>
      <c r="B153" s="8"/>
      <c r="C153" s="15" t="s">
        <v>25</v>
      </c>
      <c r="D153" s="10"/>
      <c r="E153" s="10"/>
      <c r="F153" s="11" t="str">
        <f aca="false">IF(D153=0,"",E153/D153)</f>
        <v/>
      </c>
      <c r="G153" s="12" t="str">
        <f aca="false">IF(F153="","",F153-0.85)</f>
        <v/>
      </c>
      <c r="H153" s="13" t="str">
        <f aca="false">IF(F153="","—",IF(F153&gt;=0.85,"On Target",IF(F153&gt;=0.75,"Monitor","Below Target")))</f>
        <v>—</v>
      </c>
      <c r="K153" s="23"/>
    </row>
    <row r="154" customFormat="false" ht="15" hidden="false" customHeight="false" outlineLevel="0" collapsed="false">
      <c r="A154" s="7" t="n">
        <v>149</v>
      </c>
      <c r="B154" s="8"/>
      <c r="C154" s="9" t="s">
        <v>27</v>
      </c>
      <c r="D154" s="10"/>
      <c r="E154" s="10"/>
      <c r="F154" s="11" t="str">
        <f aca="false">IF(D154=0,"",E154/D154)</f>
        <v/>
      </c>
      <c r="G154" s="12" t="str">
        <f aca="false">IF(F154="","",F154-0.85)</f>
        <v/>
      </c>
      <c r="H154" s="13" t="str">
        <f aca="false">IF(F154="","—",IF(F154&gt;=0.85,"On Target",IF(F154&gt;=0.75,"Monitor","Below Target")))</f>
        <v>—</v>
      </c>
      <c r="K154" s="23"/>
    </row>
    <row r="155" customFormat="false" ht="3.75" hidden="false" customHeight="true" outlineLevel="0" collapsed="false">
      <c r="A155" s="17"/>
      <c r="B155" s="17"/>
      <c r="C155" s="18" t="s">
        <v>28</v>
      </c>
      <c r="D155" s="19" t="n">
        <f aca="false">SUM(D150:D154)</f>
        <v>0</v>
      </c>
      <c r="E155" s="19" t="n">
        <f aca="false">SUM(E150:E154)</f>
        <v>0</v>
      </c>
      <c r="F155" s="20" t="str">
        <f aca="false">IF(D155=0,"",E155/D155)</f>
        <v/>
      </c>
      <c r="G155" s="21" t="str">
        <f aca="false">IF(F155="","",F155-0.85)</f>
        <v/>
      </c>
      <c r="H155" s="22" t="str">
        <f aca="false">IF(F155="","—",IF(F155&gt;=0.85,"On Target",IF(F155&gt;=0.75,"Monitor","Below Target")))</f>
        <v>—</v>
      </c>
      <c r="I155" s="17"/>
      <c r="J155" s="17"/>
      <c r="K155" s="17"/>
    </row>
    <row r="156" customFormat="false" ht="15" hidden="false" customHeight="false" outlineLevel="0" collapsed="false">
      <c r="A156" s="7" t="n">
        <v>151</v>
      </c>
      <c r="B156" s="8" t="s">
        <v>53</v>
      </c>
      <c r="C156" s="9" t="s">
        <v>21</v>
      </c>
      <c r="D156" s="10"/>
      <c r="E156" s="10"/>
      <c r="F156" s="11" t="str">
        <f aca="false">IF(D156=0,"",E156/D156)</f>
        <v/>
      </c>
      <c r="G156" s="12" t="str">
        <f aca="false">IF(F156="","",F156-0.85)</f>
        <v/>
      </c>
      <c r="H156" s="13" t="str">
        <f aca="false">IF(F156="","—",IF(F156&gt;=0.85,"On Target",IF(F156&gt;=0.75,"Monitor","Below Target")))</f>
        <v>—</v>
      </c>
      <c r="K156" s="23"/>
    </row>
    <row r="157" customFormat="false" ht="15" hidden="false" customHeight="false" outlineLevel="0" collapsed="false">
      <c r="A157" s="7" t="n">
        <v>152</v>
      </c>
      <c r="B157" s="8"/>
      <c r="C157" s="15" t="s">
        <v>23</v>
      </c>
      <c r="D157" s="10"/>
      <c r="E157" s="10"/>
      <c r="F157" s="11" t="str">
        <f aca="false">IF(D157=0,"",E157/D157)</f>
        <v/>
      </c>
      <c r="G157" s="12" t="str">
        <f aca="false">IF(F157="","",F157-0.85)</f>
        <v/>
      </c>
      <c r="H157" s="13" t="str">
        <f aca="false">IF(F157="","—",IF(F157&gt;=0.85,"On Target",IF(F157&gt;=0.75,"Monitor","Below Target")))</f>
        <v>—</v>
      </c>
      <c r="K157" s="23"/>
    </row>
    <row r="158" customFormat="false" ht="15" hidden="false" customHeight="false" outlineLevel="0" collapsed="false">
      <c r="A158" s="7" t="n">
        <v>153</v>
      </c>
      <c r="B158" s="8"/>
      <c r="C158" s="9" t="s">
        <v>24</v>
      </c>
      <c r="D158" s="10"/>
      <c r="E158" s="10"/>
      <c r="F158" s="11" t="str">
        <f aca="false">IF(D158=0,"",E158/D158)</f>
        <v/>
      </c>
      <c r="G158" s="12" t="str">
        <f aca="false">IF(F158="","",F158-0.85)</f>
        <v/>
      </c>
      <c r="H158" s="13" t="str">
        <f aca="false">IF(F158="","—",IF(F158&gt;=0.85,"On Target",IF(F158&gt;=0.75,"Monitor","Below Target")))</f>
        <v>—</v>
      </c>
      <c r="K158" s="23"/>
    </row>
    <row r="159" customFormat="false" ht="15" hidden="false" customHeight="false" outlineLevel="0" collapsed="false">
      <c r="A159" s="7" t="n">
        <v>154</v>
      </c>
      <c r="B159" s="8"/>
      <c r="C159" s="15" t="s">
        <v>25</v>
      </c>
      <c r="D159" s="10"/>
      <c r="E159" s="10"/>
      <c r="F159" s="11" t="str">
        <f aca="false">IF(D159=0,"",E159/D159)</f>
        <v/>
      </c>
      <c r="G159" s="12" t="str">
        <f aca="false">IF(F159="","",F159-0.85)</f>
        <v/>
      </c>
      <c r="H159" s="13" t="str">
        <f aca="false">IF(F159="","—",IF(F159&gt;=0.85,"On Target",IF(F159&gt;=0.75,"Monitor","Below Target")))</f>
        <v>—</v>
      </c>
      <c r="K159" s="23"/>
    </row>
    <row r="160" customFormat="false" ht="15" hidden="false" customHeight="false" outlineLevel="0" collapsed="false">
      <c r="A160" s="7" t="n">
        <v>155</v>
      </c>
      <c r="B160" s="8"/>
      <c r="C160" s="9" t="s">
        <v>27</v>
      </c>
      <c r="D160" s="10"/>
      <c r="E160" s="10"/>
      <c r="F160" s="11" t="str">
        <f aca="false">IF(D160=0,"",E160/D160)</f>
        <v/>
      </c>
      <c r="G160" s="12" t="str">
        <f aca="false">IF(F160="","",F160-0.85)</f>
        <v/>
      </c>
      <c r="H160" s="13" t="str">
        <f aca="false">IF(F160="","—",IF(F160&gt;=0.85,"On Target",IF(F160&gt;=0.75,"Monitor","Below Target")))</f>
        <v>—</v>
      </c>
      <c r="K160" s="23"/>
    </row>
    <row r="161" customFormat="false" ht="3.75" hidden="false" customHeight="true" outlineLevel="0" collapsed="false">
      <c r="A161" s="17"/>
      <c r="B161" s="17"/>
      <c r="C161" s="18" t="s">
        <v>28</v>
      </c>
      <c r="D161" s="19" t="n">
        <f aca="false">SUM(D156:D160)</f>
        <v>0</v>
      </c>
      <c r="E161" s="19" t="n">
        <f aca="false">SUM(E156:E160)</f>
        <v>0</v>
      </c>
      <c r="F161" s="20" t="str">
        <f aca="false">IF(D161=0,"",E161/D161)</f>
        <v/>
      </c>
      <c r="G161" s="21" t="str">
        <f aca="false">IF(F161="","",F161-0.85)</f>
        <v/>
      </c>
      <c r="H161" s="22" t="str">
        <f aca="false">IF(F161="","—",IF(F161&gt;=0.85,"On Target",IF(F161&gt;=0.75,"Monitor","Below Target")))</f>
        <v>—</v>
      </c>
      <c r="I161" s="17"/>
      <c r="J161" s="17"/>
      <c r="K161" s="17"/>
    </row>
  </sheetData>
  <mergeCells count="32">
    <mergeCell ref="A1:K1"/>
    <mergeCell ref="A2:K2"/>
    <mergeCell ref="A3:K3"/>
    <mergeCell ref="A4:B4"/>
    <mergeCell ref="B6:B10"/>
    <mergeCell ref="J6:K8"/>
    <mergeCell ref="J9:K11"/>
    <mergeCell ref="B12:B16"/>
    <mergeCell ref="B18:B22"/>
    <mergeCell ref="B24:B28"/>
    <mergeCell ref="B30:B34"/>
    <mergeCell ref="B36:B40"/>
    <mergeCell ref="B42:B46"/>
    <mergeCell ref="B48:B52"/>
    <mergeCell ref="B54:B58"/>
    <mergeCell ref="B60:B64"/>
    <mergeCell ref="B66:B70"/>
    <mergeCell ref="B72:B76"/>
    <mergeCell ref="B78:B82"/>
    <mergeCell ref="B84:B88"/>
    <mergeCell ref="B90:B94"/>
    <mergeCell ref="B96:B100"/>
    <mergeCell ref="B102:B106"/>
    <mergeCell ref="B108:B112"/>
    <mergeCell ref="B114:B118"/>
    <mergeCell ref="B120:B124"/>
    <mergeCell ref="B126:B130"/>
    <mergeCell ref="B132:B136"/>
    <mergeCell ref="B138:B142"/>
    <mergeCell ref="B144:B148"/>
    <mergeCell ref="B150:B154"/>
    <mergeCell ref="B156:B160"/>
  </mergeCells>
  <conditionalFormatting sqref="F6:F162">
    <cfRule type="cellIs" priority="2" operator="greaterThanOrEqual" aboveAverage="0" equalAverage="0" bottom="0" percent="0" rank="0" text="" dxfId="0">
      <formula>0.85</formula>
    </cfRule>
    <cfRule type="cellIs" priority="3" operator="between" aboveAverage="0" equalAverage="0" bottom="0" percent="0" rank="0" text="" dxfId="1">
      <formula>0.75</formula>
      <formula>0.8499</formula>
    </cfRule>
    <cfRule type="cellIs" priority="4" operator="lessThan" aboveAverage="0" equalAverage="0" bottom="0" percent="0" rank="0" text="" dxfId="2">
      <formula>0.75</formula>
    </cfRule>
  </conditionalFormatting>
  <conditionalFormatting sqref="H6:H162">
    <cfRule type="cellIs" priority="5" operator="equal" aboveAverage="0" equalAverage="0" bottom="0" percent="0" rank="0" text="" dxfId="3">
      <formula>"On Target"</formula>
    </cfRule>
    <cfRule type="cellIs" priority="6" operator="equal" aboveAverage="0" equalAverage="0" bottom="0" percent="0" rank="0" text="" dxfId="4">
      <formula>"Monitor"</formula>
    </cfRule>
    <cfRule type="cellIs" priority="7" operator="equal" aboveAverage="0" equalAverage="0" bottom="0" percent="0" rank="0" text="" dxfId="5">
      <formula>"Below Target"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5050"/>
    <pageSetUpPr fitToPage="false"/>
  </sheetPr>
  <dimension ref="A1:N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9" min="4" style="0" width="12"/>
    <col collapsed="false" customWidth="true" hidden="false" outlineLevel="0" max="11" min="10" style="0" width="13"/>
    <col collapsed="false" customWidth="true" hidden="false" outlineLevel="0" max="13" min="12" style="0" width="14"/>
    <col collapsed="false" customWidth="true" hidden="false" outlineLevel="0" max="14" min="14" style="0" width="28"/>
  </cols>
  <sheetData>
    <row r="1" customFormat="false" ht="36" hidden="false" customHeight="true" outlineLevel="0" collapsed="false">
      <c r="A1" s="24" t="s">
        <v>54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</row>
    <row r="2" customFormat="false" ht="18" hidden="false" customHeight="true" outlineLevel="0" collapsed="false">
      <c r="A2" s="25" t="s">
        <v>55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</row>
    <row r="3" customFormat="false" ht="18" hidden="false" customHeight="true" outlineLevel="0" collapsed="false">
      <c r="A3" s="26" t="s">
        <v>56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</row>
    <row r="4" customFormat="false" ht="18" hidden="false" customHeight="true" outlineLevel="0" collapsed="false">
      <c r="A4" s="27" t="s">
        <v>57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</row>
    <row r="5" customFormat="false" ht="39.75" hidden="false" customHeight="true" outlineLevel="0" collapsed="false">
      <c r="A5" s="28" t="s">
        <v>11</v>
      </c>
      <c r="B5" s="28" t="s">
        <v>58</v>
      </c>
      <c r="C5" s="28" t="s">
        <v>59</v>
      </c>
      <c r="D5" s="28" t="s">
        <v>60</v>
      </c>
      <c r="E5" s="28" t="s">
        <v>61</v>
      </c>
      <c r="F5" s="28" t="s">
        <v>62</v>
      </c>
      <c r="G5" s="28" t="s">
        <v>63</v>
      </c>
      <c r="H5" s="28" t="s">
        <v>64</v>
      </c>
      <c r="I5" s="28" t="s">
        <v>65</v>
      </c>
      <c r="J5" s="28" t="s">
        <v>66</v>
      </c>
      <c r="K5" s="28" t="s">
        <v>67</v>
      </c>
      <c r="L5" s="28" t="s">
        <v>68</v>
      </c>
      <c r="M5" s="28" t="s">
        <v>69</v>
      </c>
      <c r="N5" s="28" t="s">
        <v>70</v>
      </c>
    </row>
    <row r="6" customFormat="false" ht="19.5" hidden="false" customHeight="true" outlineLevel="0" collapsed="false">
      <c r="A6" s="29" t="n">
        <v>1</v>
      </c>
      <c r="B6" s="30" t="s">
        <v>71</v>
      </c>
      <c r="C6" s="31" t="s">
        <v>72</v>
      </c>
      <c r="D6" s="32"/>
      <c r="E6" s="32"/>
      <c r="F6" s="32"/>
      <c r="G6" s="32"/>
      <c r="H6" s="32"/>
      <c r="I6" s="32"/>
      <c r="J6" s="32"/>
      <c r="K6" s="33"/>
      <c r="L6" s="34"/>
      <c r="M6" s="33"/>
      <c r="N6" s="35" t="s">
        <v>73</v>
      </c>
    </row>
    <row r="7" customFormat="false" ht="19.5" hidden="false" customHeight="true" outlineLevel="0" collapsed="false">
      <c r="A7" s="36" t="n">
        <v>2</v>
      </c>
      <c r="B7" s="30" t="s">
        <v>74</v>
      </c>
      <c r="C7" s="37" t="s">
        <v>75</v>
      </c>
      <c r="D7" s="32"/>
      <c r="E7" s="32"/>
      <c r="F7" s="32"/>
      <c r="G7" s="32"/>
      <c r="H7" s="32"/>
      <c r="I7" s="32"/>
      <c r="J7" s="32"/>
      <c r="K7" s="33"/>
      <c r="L7" s="34"/>
      <c r="M7" s="33"/>
      <c r="N7" s="38" t="s">
        <v>76</v>
      </c>
    </row>
    <row r="8" customFormat="false" ht="19.5" hidden="false" customHeight="true" outlineLevel="0" collapsed="false">
      <c r="A8" s="29" t="n">
        <v>3</v>
      </c>
      <c r="B8" s="30" t="s">
        <v>77</v>
      </c>
      <c r="C8" s="31" t="s">
        <v>78</v>
      </c>
      <c r="D8" s="32"/>
      <c r="E8" s="32"/>
      <c r="F8" s="32"/>
      <c r="G8" s="32"/>
      <c r="H8" s="32"/>
      <c r="I8" s="32"/>
      <c r="J8" s="32"/>
      <c r="K8" s="33"/>
      <c r="L8" s="34"/>
      <c r="M8" s="33"/>
      <c r="N8" s="35" t="s">
        <v>79</v>
      </c>
    </row>
    <row r="9" customFormat="false" ht="19.5" hidden="false" customHeight="true" outlineLevel="0" collapsed="false">
      <c r="A9" s="36" t="n">
        <v>4</v>
      </c>
      <c r="B9" s="30" t="s">
        <v>80</v>
      </c>
      <c r="C9" s="37" t="s">
        <v>81</v>
      </c>
      <c r="D9" s="32"/>
      <c r="E9" s="32"/>
      <c r="F9" s="32"/>
      <c r="G9" s="32"/>
      <c r="H9" s="32"/>
      <c r="I9" s="32"/>
      <c r="J9" s="32"/>
      <c r="K9" s="33"/>
      <c r="L9" s="34"/>
      <c r="M9" s="33"/>
      <c r="N9" s="38" t="s">
        <v>82</v>
      </c>
    </row>
    <row r="10" customFormat="false" ht="19.5" hidden="false" customHeight="true" outlineLevel="0" collapsed="false">
      <c r="A10" s="29" t="n">
        <v>5</v>
      </c>
      <c r="B10" s="30" t="s">
        <v>83</v>
      </c>
      <c r="C10" s="31" t="s">
        <v>84</v>
      </c>
      <c r="D10" s="32"/>
      <c r="E10" s="32"/>
      <c r="F10" s="32"/>
      <c r="G10" s="32"/>
      <c r="H10" s="32"/>
      <c r="I10" s="32"/>
      <c r="J10" s="32"/>
      <c r="K10" s="33"/>
      <c r="L10" s="34"/>
      <c r="M10" s="33"/>
      <c r="N10" s="35" t="s">
        <v>85</v>
      </c>
    </row>
    <row r="11" customFormat="false" ht="19.5" hidden="false" customHeight="true" outlineLevel="0" collapsed="false">
      <c r="A11" s="36" t="n">
        <v>6</v>
      </c>
      <c r="B11" s="30" t="s">
        <v>86</v>
      </c>
      <c r="C11" s="37" t="s">
        <v>87</v>
      </c>
      <c r="D11" s="32"/>
      <c r="E11" s="32"/>
      <c r="F11" s="32"/>
      <c r="G11" s="32"/>
      <c r="H11" s="32"/>
      <c r="I11" s="32"/>
      <c r="J11" s="32"/>
      <c r="K11" s="33"/>
      <c r="L11" s="34"/>
      <c r="M11" s="33"/>
      <c r="N11" s="38" t="s">
        <v>88</v>
      </c>
    </row>
    <row r="12" customFormat="false" ht="19.5" hidden="false" customHeight="true" outlineLevel="0" collapsed="false">
      <c r="A12" s="29" t="n">
        <v>7</v>
      </c>
      <c r="B12" s="30" t="s">
        <v>89</v>
      </c>
      <c r="C12" s="31" t="s">
        <v>81</v>
      </c>
      <c r="D12" s="32"/>
      <c r="E12" s="32"/>
      <c r="F12" s="32"/>
      <c r="G12" s="32"/>
      <c r="H12" s="32"/>
      <c r="I12" s="32"/>
      <c r="J12" s="32"/>
      <c r="K12" s="33"/>
      <c r="L12" s="34"/>
      <c r="M12" s="33"/>
      <c r="N12" s="35" t="s">
        <v>90</v>
      </c>
    </row>
    <row r="13" customFormat="false" ht="19.5" hidden="false" customHeight="true" outlineLevel="0" collapsed="false">
      <c r="A13" s="36" t="n">
        <v>8</v>
      </c>
      <c r="B13" s="30" t="s">
        <v>91</v>
      </c>
      <c r="C13" s="37" t="s">
        <v>92</v>
      </c>
      <c r="D13" s="32"/>
      <c r="E13" s="32"/>
      <c r="F13" s="32"/>
      <c r="G13" s="32"/>
      <c r="H13" s="32"/>
      <c r="I13" s="32"/>
      <c r="J13" s="32"/>
      <c r="K13" s="33"/>
      <c r="L13" s="34"/>
      <c r="M13" s="33"/>
      <c r="N13" s="38" t="s">
        <v>93</v>
      </c>
    </row>
    <row r="14" customFormat="false" ht="19.5" hidden="false" customHeight="true" outlineLevel="0" collapsed="false">
      <c r="A14" s="29" t="n">
        <v>9</v>
      </c>
      <c r="B14" s="30" t="s">
        <v>94</v>
      </c>
      <c r="C14" s="31" t="s">
        <v>25</v>
      </c>
      <c r="D14" s="32"/>
      <c r="E14" s="32"/>
      <c r="F14" s="32"/>
      <c r="G14" s="32"/>
      <c r="H14" s="32"/>
      <c r="I14" s="32"/>
      <c r="J14" s="32"/>
      <c r="K14" s="33"/>
      <c r="L14" s="34"/>
      <c r="M14" s="33"/>
      <c r="N14" s="35" t="s">
        <v>95</v>
      </c>
    </row>
    <row r="15" customFormat="false" ht="19.5" hidden="false" customHeight="true" outlineLevel="0" collapsed="false">
      <c r="A15" s="36" t="n">
        <v>10</v>
      </c>
      <c r="B15" s="39"/>
      <c r="C15" s="37"/>
      <c r="D15" s="32"/>
      <c r="E15" s="32"/>
      <c r="F15" s="32"/>
      <c r="G15" s="32"/>
      <c r="H15" s="32"/>
      <c r="I15" s="32"/>
      <c r="J15" s="32"/>
      <c r="K15" s="33"/>
      <c r="L15" s="34"/>
      <c r="M15" s="33"/>
      <c r="N15" s="38"/>
    </row>
    <row r="16" customFormat="false" ht="19.5" hidden="false" customHeight="true" outlineLevel="0" collapsed="false">
      <c r="A16" s="29" t="n">
        <v>11</v>
      </c>
      <c r="B16" s="40"/>
      <c r="C16" s="31"/>
      <c r="D16" s="32"/>
      <c r="E16" s="32"/>
      <c r="F16" s="32"/>
      <c r="G16" s="32"/>
      <c r="H16" s="32"/>
      <c r="I16" s="32"/>
      <c r="J16" s="32"/>
      <c r="K16" s="33"/>
      <c r="L16" s="34"/>
      <c r="M16" s="33"/>
      <c r="N16" s="35"/>
    </row>
    <row r="17" customFormat="false" ht="19.5" hidden="false" customHeight="true" outlineLevel="0" collapsed="false">
      <c r="A17" s="36" t="n">
        <v>12</v>
      </c>
      <c r="B17" s="39"/>
      <c r="C17" s="37"/>
      <c r="D17" s="32"/>
      <c r="E17" s="32"/>
      <c r="F17" s="32"/>
      <c r="G17" s="32"/>
      <c r="H17" s="32"/>
      <c r="I17" s="32"/>
      <c r="J17" s="32"/>
      <c r="K17" s="33"/>
      <c r="L17" s="34"/>
      <c r="M17" s="33"/>
      <c r="N17" s="38"/>
    </row>
    <row r="18" customFormat="false" ht="19.5" hidden="false" customHeight="true" outlineLevel="0" collapsed="false">
      <c r="A18" s="29" t="n">
        <v>13</v>
      </c>
      <c r="B18" s="40"/>
      <c r="C18" s="31"/>
      <c r="D18" s="32"/>
      <c r="E18" s="32"/>
      <c r="F18" s="32"/>
      <c r="G18" s="32"/>
      <c r="H18" s="32"/>
      <c r="I18" s="32"/>
      <c r="J18" s="32"/>
      <c r="K18" s="33"/>
      <c r="L18" s="34"/>
      <c r="M18" s="33"/>
      <c r="N18" s="35"/>
    </row>
    <row r="19" customFormat="false" ht="19.5" hidden="false" customHeight="true" outlineLevel="0" collapsed="false">
      <c r="A19" s="36" t="n">
        <v>14</v>
      </c>
      <c r="B19" s="39"/>
      <c r="C19" s="37"/>
      <c r="D19" s="32"/>
      <c r="E19" s="32"/>
      <c r="F19" s="32"/>
      <c r="G19" s="32"/>
      <c r="H19" s="32"/>
      <c r="I19" s="32"/>
      <c r="J19" s="32"/>
      <c r="K19" s="33"/>
      <c r="L19" s="34"/>
      <c r="M19" s="33"/>
      <c r="N19" s="38"/>
    </row>
    <row r="20" customFormat="false" ht="19.5" hidden="false" customHeight="true" outlineLevel="0" collapsed="false">
      <c r="A20" s="29" t="n">
        <v>15</v>
      </c>
      <c r="B20" s="40"/>
      <c r="C20" s="31"/>
      <c r="D20" s="32"/>
      <c r="E20" s="32"/>
      <c r="F20" s="32"/>
      <c r="G20" s="32"/>
      <c r="H20" s="32"/>
      <c r="I20" s="32"/>
      <c r="J20" s="32"/>
      <c r="K20" s="33"/>
      <c r="L20" s="34"/>
      <c r="M20" s="33"/>
      <c r="N20" s="35"/>
    </row>
    <row r="21" customFormat="false" ht="19.5" hidden="false" customHeight="true" outlineLevel="0" collapsed="false">
      <c r="A21" s="36" t="n">
        <v>16</v>
      </c>
      <c r="B21" s="39"/>
      <c r="C21" s="37"/>
      <c r="D21" s="32"/>
      <c r="E21" s="32"/>
      <c r="F21" s="32"/>
      <c r="G21" s="32"/>
      <c r="H21" s="32"/>
      <c r="I21" s="32"/>
      <c r="J21" s="32"/>
      <c r="K21" s="33"/>
      <c r="L21" s="34"/>
      <c r="M21" s="33"/>
      <c r="N21" s="38"/>
    </row>
    <row r="22" customFormat="false" ht="19.5" hidden="false" customHeight="true" outlineLevel="0" collapsed="false">
      <c r="A22" s="29" t="n">
        <v>17</v>
      </c>
      <c r="B22" s="40"/>
      <c r="C22" s="31"/>
      <c r="D22" s="32"/>
      <c r="E22" s="32"/>
      <c r="F22" s="32"/>
      <c r="G22" s="32"/>
      <c r="H22" s="32"/>
      <c r="I22" s="32"/>
      <c r="J22" s="32"/>
      <c r="K22" s="33"/>
      <c r="L22" s="34"/>
      <c r="M22" s="33"/>
      <c r="N22" s="35"/>
    </row>
    <row r="23" customFormat="false" ht="19.5" hidden="false" customHeight="true" outlineLevel="0" collapsed="false">
      <c r="A23" s="36" t="n">
        <v>18</v>
      </c>
      <c r="B23" s="39"/>
      <c r="C23" s="37"/>
      <c r="D23" s="32"/>
      <c r="E23" s="32"/>
      <c r="F23" s="32"/>
      <c r="G23" s="32"/>
      <c r="H23" s="32"/>
      <c r="I23" s="32"/>
      <c r="J23" s="32"/>
      <c r="K23" s="33"/>
      <c r="L23" s="34"/>
      <c r="M23" s="33"/>
      <c r="N23" s="38"/>
    </row>
    <row r="24" customFormat="false" ht="19.5" hidden="false" customHeight="true" outlineLevel="0" collapsed="false">
      <c r="A24" s="29" t="n">
        <v>19</v>
      </c>
      <c r="B24" s="40"/>
      <c r="C24" s="31"/>
      <c r="D24" s="32"/>
      <c r="E24" s="32"/>
      <c r="F24" s="32"/>
      <c r="G24" s="32"/>
      <c r="H24" s="32"/>
      <c r="I24" s="32"/>
      <c r="J24" s="32"/>
      <c r="K24" s="33"/>
      <c r="L24" s="34"/>
      <c r="M24" s="33"/>
      <c r="N24" s="35"/>
    </row>
    <row r="25" customFormat="false" ht="19.5" hidden="false" customHeight="true" outlineLevel="0" collapsed="false">
      <c r="A25" s="36" t="n">
        <v>20</v>
      </c>
      <c r="B25" s="39"/>
      <c r="C25" s="37"/>
      <c r="D25" s="32"/>
      <c r="E25" s="32"/>
      <c r="F25" s="32"/>
      <c r="G25" s="32"/>
      <c r="H25" s="32"/>
      <c r="I25" s="32"/>
      <c r="J25" s="32"/>
      <c r="K25" s="33"/>
      <c r="L25" s="34"/>
      <c r="M25" s="33"/>
      <c r="N25" s="38"/>
    </row>
    <row r="26" customFormat="false" ht="19.5" hidden="false" customHeight="true" outlineLevel="0" collapsed="false">
      <c r="A26" s="29" t="n">
        <v>21</v>
      </c>
      <c r="B26" s="40"/>
      <c r="C26" s="31"/>
      <c r="D26" s="32"/>
      <c r="E26" s="32"/>
      <c r="F26" s="32"/>
      <c r="G26" s="32"/>
      <c r="H26" s="32"/>
      <c r="I26" s="32"/>
      <c r="J26" s="32"/>
      <c r="K26" s="33"/>
      <c r="L26" s="34"/>
      <c r="M26" s="33"/>
      <c r="N26" s="35"/>
    </row>
    <row r="27" customFormat="false" ht="19.5" hidden="false" customHeight="true" outlineLevel="0" collapsed="false">
      <c r="A27" s="36" t="n">
        <v>22</v>
      </c>
      <c r="B27" s="39"/>
      <c r="C27" s="37"/>
      <c r="D27" s="32"/>
      <c r="E27" s="32"/>
      <c r="F27" s="32"/>
      <c r="G27" s="32"/>
      <c r="H27" s="32"/>
      <c r="I27" s="32"/>
      <c r="J27" s="32"/>
      <c r="K27" s="33"/>
      <c r="L27" s="34"/>
      <c r="M27" s="33"/>
      <c r="N27" s="38"/>
    </row>
    <row r="28" customFormat="false" ht="19.5" hidden="false" customHeight="true" outlineLevel="0" collapsed="false">
      <c r="A28" s="29" t="n">
        <v>23</v>
      </c>
      <c r="B28" s="40"/>
      <c r="C28" s="31"/>
      <c r="D28" s="32"/>
      <c r="E28" s="32"/>
      <c r="F28" s="32"/>
      <c r="G28" s="32"/>
      <c r="H28" s="32"/>
      <c r="I28" s="32"/>
      <c r="J28" s="32"/>
      <c r="K28" s="33"/>
      <c r="L28" s="34"/>
      <c r="M28" s="33"/>
      <c r="N28" s="35"/>
    </row>
    <row r="29" customFormat="false" ht="19.5" hidden="false" customHeight="true" outlineLevel="0" collapsed="false">
      <c r="A29" s="36" t="n">
        <v>24</v>
      </c>
      <c r="B29" s="39"/>
      <c r="C29" s="37"/>
      <c r="D29" s="32"/>
      <c r="E29" s="32"/>
      <c r="F29" s="32"/>
      <c r="G29" s="32"/>
      <c r="H29" s="32"/>
      <c r="I29" s="32"/>
      <c r="J29" s="32"/>
      <c r="K29" s="33"/>
      <c r="L29" s="34"/>
      <c r="M29" s="33"/>
      <c r="N29" s="38"/>
    </row>
    <row r="30" customFormat="false" ht="19.5" hidden="false" customHeight="true" outlineLevel="0" collapsed="false">
      <c r="A30" s="29" t="n">
        <v>25</v>
      </c>
      <c r="B30" s="40"/>
      <c r="C30" s="31"/>
      <c r="D30" s="32"/>
      <c r="E30" s="32"/>
      <c r="F30" s="32"/>
      <c r="G30" s="32"/>
      <c r="H30" s="32"/>
      <c r="I30" s="32"/>
      <c r="J30" s="32"/>
      <c r="K30" s="33"/>
      <c r="L30" s="34"/>
      <c r="M30" s="33"/>
      <c r="N30" s="35"/>
    </row>
    <row r="31" customFormat="false" ht="19.5" hidden="false" customHeight="true" outlineLevel="0" collapsed="false">
      <c r="A31" s="36" t="n">
        <v>26</v>
      </c>
      <c r="B31" s="39"/>
      <c r="C31" s="37"/>
      <c r="D31" s="32"/>
      <c r="E31" s="32"/>
      <c r="F31" s="32"/>
      <c r="G31" s="32"/>
      <c r="H31" s="32"/>
      <c r="I31" s="32"/>
      <c r="J31" s="32"/>
      <c r="K31" s="33"/>
      <c r="L31" s="34"/>
      <c r="M31" s="33"/>
      <c r="N31" s="38"/>
    </row>
    <row r="32" customFormat="false" ht="19.5" hidden="false" customHeight="true" outlineLevel="0" collapsed="false">
      <c r="A32" s="29" t="n">
        <v>27</v>
      </c>
      <c r="B32" s="40"/>
      <c r="C32" s="31"/>
      <c r="D32" s="32"/>
      <c r="E32" s="32"/>
      <c r="F32" s="32"/>
      <c r="G32" s="32"/>
      <c r="H32" s="32"/>
      <c r="I32" s="32"/>
      <c r="J32" s="32"/>
      <c r="K32" s="33"/>
      <c r="L32" s="34"/>
      <c r="M32" s="33"/>
      <c r="N32" s="35"/>
    </row>
    <row r="33" customFormat="false" ht="19.5" hidden="false" customHeight="true" outlineLevel="0" collapsed="false">
      <c r="A33" s="36" t="n">
        <v>28</v>
      </c>
      <c r="B33" s="39"/>
      <c r="C33" s="37"/>
      <c r="D33" s="32"/>
      <c r="E33" s="32"/>
      <c r="F33" s="32"/>
      <c r="G33" s="32"/>
      <c r="H33" s="32"/>
      <c r="I33" s="32"/>
      <c r="J33" s="32"/>
      <c r="K33" s="33"/>
      <c r="L33" s="34"/>
      <c r="M33" s="33"/>
      <c r="N33" s="38"/>
    </row>
    <row r="34" customFormat="false" ht="19.5" hidden="false" customHeight="true" outlineLevel="0" collapsed="false">
      <c r="A34" s="29" t="n">
        <v>29</v>
      </c>
      <c r="B34" s="40"/>
      <c r="C34" s="31"/>
      <c r="D34" s="32"/>
      <c r="E34" s="32"/>
      <c r="F34" s="32"/>
      <c r="G34" s="32"/>
      <c r="H34" s="32"/>
      <c r="I34" s="32"/>
      <c r="J34" s="32"/>
      <c r="K34" s="33"/>
      <c r="L34" s="34"/>
      <c r="M34" s="33"/>
      <c r="N34" s="35"/>
    </row>
    <row r="35" customFormat="false" ht="19.5" hidden="false" customHeight="true" outlineLevel="0" collapsed="false">
      <c r="A35" s="36" t="n">
        <v>30</v>
      </c>
      <c r="B35" s="39"/>
      <c r="C35" s="37"/>
      <c r="D35" s="32"/>
      <c r="E35" s="32"/>
      <c r="F35" s="32"/>
      <c r="G35" s="32"/>
      <c r="H35" s="32"/>
      <c r="I35" s="32"/>
      <c r="J35" s="32"/>
      <c r="K35" s="33"/>
      <c r="L35" s="34"/>
      <c r="M35" s="33"/>
      <c r="N35" s="38"/>
    </row>
    <row r="36" customFormat="false" ht="19.5" hidden="false" customHeight="true" outlineLevel="0" collapsed="false">
      <c r="A36" s="29" t="n">
        <v>31</v>
      </c>
      <c r="B36" s="40"/>
      <c r="C36" s="31"/>
      <c r="D36" s="32"/>
      <c r="E36" s="32"/>
      <c r="F36" s="32"/>
      <c r="G36" s="32"/>
      <c r="H36" s="32"/>
      <c r="I36" s="32"/>
      <c r="J36" s="32"/>
      <c r="K36" s="33"/>
      <c r="L36" s="34"/>
      <c r="M36" s="33"/>
      <c r="N36" s="35"/>
    </row>
    <row r="40" customFormat="false" ht="21.75" hidden="false" customHeight="true" outlineLevel="0" collapsed="false">
      <c r="A40" s="41" t="s">
        <v>96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</row>
    <row r="41" customFormat="false" ht="18" hidden="false" customHeight="true" outlineLevel="0" collapsed="false">
      <c r="A41" s="42"/>
      <c r="B41" s="43" t="s">
        <v>97</v>
      </c>
      <c r="C41" s="44" t="s">
        <v>98</v>
      </c>
      <c r="D41" s="45" t="s">
        <v>99</v>
      </c>
      <c r="E41" s="45"/>
      <c r="F41" s="45"/>
      <c r="G41" s="45"/>
      <c r="H41" s="45"/>
      <c r="I41" s="45"/>
      <c r="J41" s="45"/>
      <c r="K41" s="45"/>
      <c r="L41" s="45"/>
      <c r="M41" s="45"/>
      <c r="N41" s="45"/>
    </row>
    <row r="42" customFormat="false" ht="18" hidden="false" customHeight="true" outlineLevel="0" collapsed="false">
      <c r="A42" s="46"/>
      <c r="B42" s="47" t="s">
        <v>100</v>
      </c>
      <c r="C42" s="48" t="s">
        <v>98</v>
      </c>
      <c r="D42" s="49" t="s">
        <v>101</v>
      </c>
      <c r="E42" s="49"/>
      <c r="F42" s="49"/>
      <c r="G42" s="49"/>
      <c r="H42" s="49"/>
      <c r="I42" s="49"/>
      <c r="J42" s="49"/>
      <c r="K42" s="49"/>
      <c r="L42" s="49"/>
      <c r="M42" s="49"/>
      <c r="N42" s="49"/>
    </row>
    <row r="43" customFormat="false" ht="18" hidden="false" customHeight="true" outlineLevel="0" collapsed="false">
      <c r="A43" s="42"/>
      <c r="B43" s="43" t="s">
        <v>102</v>
      </c>
      <c r="C43" s="44" t="s">
        <v>98</v>
      </c>
      <c r="D43" s="45" t="s">
        <v>103</v>
      </c>
      <c r="E43" s="45"/>
      <c r="F43" s="45"/>
      <c r="G43" s="45"/>
      <c r="H43" s="45"/>
      <c r="I43" s="45"/>
      <c r="J43" s="45"/>
      <c r="K43" s="45"/>
      <c r="L43" s="45"/>
      <c r="M43" s="45"/>
      <c r="N43" s="45"/>
    </row>
    <row r="44" customFormat="false" ht="18" hidden="false" customHeight="true" outlineLevel="0" collapsed="false">
      <c r="A44" s="46"/>
      <c r="B44" s="47" t="s">
        <v>104</v>
      </c>
      <c r="C44" s="48" t="s">
        <v>98</v>
      </c>
      <c r="D44" s="49" t="s">
        <v>105</v>
      </c>
      <c r="E44" s="49"/>
      <c r="F44" s="49"/>
      <c r="G44" s="49"/>
      <c r="H44" s="49"/>
      <c r="I44" s="49"/>
      <c r="J44" s="49"/>
      <c r="K44" s="49"/>
      <c r="L44" s="49"/>
      <c r="M44" s="49"/>
      <c r="N44" s="49"/>
    </row>
    <row r="45" customFormat="false" ht="18" hidden="false" customHeight="true" outlineLevel="0" collapsed="false">
      <c r="A45" s="42"/>
      <c r="B45" s="43" t="s">
        <v>106</v>
      </c>
      <c r="C45" s="44" t="s">
        <v>107</v>
      </c>
      <c r="D45" s="45" t="s">
        <v>108</v>
      </c>
      <c r="E45" s="45"/>
      <c r="F45" s="45"/>
      <c r="G45" s="45"/>
      <c r="H45" s="45"/>
      <c r="I45" s="45"/>
      <c r="J45" s="45"/>
      <c r="K45" s="45"/>
      <c r="L45" s="45"/>
      <c r="M45" s="45"/>
      <c r="N45" s="45"/>
    </row>
    <row r="46" customFormat="false" ht="18" hidden="false" customHeight="true" outlineLevel="0" collapsed="false">
      <c r="A46" s="46"/>
      <c r="B46" s="47" t="s">
        <v>109</v>
      </c>
      <c r="C46" s="48" t="s">
        <v>107</v>
      </c>
      <c r="D46" s="49" t="s">
        <v>110</v>
      </c>
      <c r="E46" s="49"/>
      <c r="F46" s="49"/>
      <c r="G46" s="49"/>
      <c r="H46" s="49"/>
      <c r="I46" s="49"/>
      <c r="J46" s="49"/>
      <c r="K46" s="49"/>
      <c r="L46" s="49"/>
      <c r="M46" s="49"/>
      <c r="N46" s="49"/>
    </row>
    <row r="47" customFormat="false" ht="18" hidden="false" customHeight="true" outlineLevel="0" collapsed="false">
      <c r="A47" s="42"/>
      <c r="B47" s="43" t="s">
        <v>111</v>
      </c>
      <c r="C47" s="44" t="s">
        <v>107</v>
      </c>
      <c r="D47" s="45" t="s">
        <v>112</v>
      </c>
      <c r="E47" s="45"/>
      <c r="F47" s="45"/>
      <c r="G47" s="45"/>
      <c r="H47" s="45"/>
      <c r="I47" s="45"/>
      <c r="J47" s="45"/>
      <c r="K47" s="45"/>
      <c r="L47" s="45"/>
      <c r="M47" s="45"/>
      <c r="N47" s="45"/>
    </row>
  </sheetData>
  <mergeCells count="12">
    <mergeCell ref="A1:N1"/>
    <mergeCell ref="A2:N2"/>
    <mergeCell ref="A3:N3"/>
    <mergeCell ref="A4:N4"/>
    <mergeCell ref="A40:N40"/>
    <mergeCell ref="D41:N41"/>
    <mergeCell ref="D42:N42"/>
    <mergeCell ref="D43:N43"/>
    <mergeCell ref="D44:N44"/>
    <mergeCell ref="D45:N45"/>
    <mergeCell ref="D46:N46"/>
    <mergeCell ref="D47:N47"/>
  </mergeCells>
  <conditionalFormatting sqref="D6:J100">
    <cfRule type="cellIs" priority="2" operator="equal" aboveAverage="0" equalAverage="0" bottom="0" percent="0" rank="0" text="" dxfId="6">
      <formula>"EXP"</formula>
    </cfRule>
    <cfRule type="cellIs" priority="3" operator="equal" aboveAverage="0" equalAverage="0" bottom="0" percent="0" rank="0" text="" dxfId="7">
      <formula>"II"</formula>
    </cfRule>
    <cfRule type="cellIs" priority="4" operator="equal" aboveAverage="0" equalAverage="0" bottom="0" percent="0" rank="0" text="" dxfId="7">
      <formula>"III"</formula>
    </cfRule>
    <cfRule type="cellIs" priority="5" operator="equal" aboveAverage="0" equalAverage="0" bottom="0" percent="0" rank="0" text="" dxfId="7">
      <formula>"II/III"</formula>
    </cfRule>
    <cfRule type="cellIs" priority="6" operator="equal" aboveAverage="0" equalAverage="0" bottom="0" percent="0" rank="0" text="" dxfId="8">
      <formula>"I"</formula>
    </cfRule>
  </conditionalFormatting>
  <conditionalFormatting sqref="K6:K100">
    <cfRule type="cellIs" priority="7" operator="equal" aboveAverage="0" equalAverage="0" bottom="0" percent="0" rank="0" text="" dxfId="3">
      <formula>"Yes"</formula>
    </cfRule>
    <cfRule type="cellIs" priority="8" operator="equal" aboveAverage="0" equalAverage="0" bottom="0" percent="0" rank="0" text="" dxfId="5">
      <formula>"No"</formula>
    </cfRule>
    <cfRule type="cellIs" priority="9" operator="equal" aboveAverage="0" equalAverage="0" bottom="0" percent="0" rank="0" text="" dxfId="4">
      <formula>"Partial"</formula>
    </cfRule>
  </conditionalFormatting>
  <dataValidations count="3">
    <dataValidation allowBlank="true" errorStyle="stop" operator="between" showDropDown="false" showErrorMessage="false" showInputMessage="false" sqref="D6:J100" type="list">
      <formula1>"—,I,II,III,I/II,II/III,EXP,?"</formula1>
      <formula2>0</formula2>
    </dataValidation>
    <dataValidation allowBlank="true" errorStyle="stop" operator="between" showDropDown="false" showErrorMessage="false" showInputMessage="false" sqref="K6:K100" type="list">
      <formula1>"Yes,No,Partial,Unknown"</formula1>
      <formula2>0</formula2>
    </dataValidation>
    <dataValidation allowBlank="true" errorStyle="stop" operator="between" showDropDown="false" showErrorMessage="false" showInputMessage="false" sqref="M6:M100" type="list">
      <formula1>"Yes,No,TBD"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2026-04-18T02:48:14Z</dcterms:created>
  <dc:creator>openpyxl</dc:creator>
  <dc:description/>
  <dc:language>en-US</dc:language>
  <cp:lastModifiedBy/>
  <dcterms:modified xsi:type="dcterms:W3CDTF">2026-04-18T02:48:14Z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